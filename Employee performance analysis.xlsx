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https://d.docs.live.net/4ea7f7cbe60d8298/Desktop/"/>
    </mc:Choice>
  </mc:AlternateContent>
  <xr:revisionPtr revIDLastSave="17" documentId="13_ncr:1_{C88213FD-0D96-4B03-A328-8EF916EFEF88}" xr6:coauthVersionLast="47" xr6:coauthVersionMax="47" xr10:uidLastSave="{D701A72E-83C1-4E53-A710-1E7A84D4B193}"/>
  <bookViews>
    <workbookView xWindow="-110" yWindow="-110" windowWidth="19420" windowHeight="10300" activeTab="4" xr2:uid="{2A91A958-ADA5-47E1-B623-07E2D171D3C8}"/>
  </bookViews>
  <sheets>
    <sheet name="master data" sheetId="1" r:id="rId1"/>
    <sheet name="pivot tables" sheetId="2" r:id="rId2"/>
    <sheet name="Detail1" sheetId="4" r:id="rId3"/>
    <sheet name="Detail2" sheetId="5" r:id="rId4"/>
    <sheet name="dash board" sheetId="3" r:id="rId5"/>
  </sheets>
  <definedNames>
    <definedName name="NativeTimeline_Date">#N/A</definedName>
    <definedName name="NativeTimeline_Date1">#N/A</definedName>
    <definedName name="Slicer_Place">#N/A</definedName>
    <definedName name="Slicer_Place1">#N/A</definedName>
    <definedName name="Slicer_Products">#N/A</definedName>
    <definedName name="Slicer_Products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B181" i="2"/>
  <c r="B173" i="2"/>
</calcChain>
</file>

<file path=xl/sharedStrings.xml><?xml version="1.0" encoding="utf-8"?>
<sst xmlns="http://schemas.openxmlformats.org/spreadsheetml/2006/main" count="2138" uniqueCount="43">
  <si>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</si>
  <si>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</si>
  <si>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</si>
  <si>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</si>
  <si>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</si>
  <si>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</si>
  <si>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</si>
  <si>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</si>
  <si>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</si>
  <si>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</si>
  <si>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</si>
  <si>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</si>
  <si>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</si>
  <si>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</si>
  <si>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</si>
  <si>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</si>
  <si>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</si>
  <si>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</si>
  <si>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</si>
  <si>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</si>
  <si>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</si>
  <si>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</si>
  <si>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</si>
  <si>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</si>
  <si>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</si>
  <si>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</si>
  <si>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</si>
  <si>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</si>
  <si>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</si>
  <si>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Mar</t>
  </si>
  <si>
    <t>Apr</t>
  </si>
  <si>
    <t>May</t>
  </si>
  <si>
    <t>Jun</t>
  </si>
  <si>
    <t>Jul</t>
  </si>
  <si>
    <t>Aug</t>
  </si>
  <si>
    <t>Sep</t>
  </si>
  <si>
    <t>Oct</t>
  </si>
  <si>
    <t>Nov</t>
  </si>
  <si>
    <t>Dec</t>
  </si>
  <si>
    <t>Sum of Amount</t>
  </si>
  <si>
    <t>Details for Sum of Amount</t>
  </si>
  <si>
    <t>Details for Sum of Amount - Products: Laptops</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</si>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</sst>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rgb="FFFF0000"/>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0" fontId="2" fillId="2" borderId="1" xfId="0" applyFont="1" applyFill="1" applyBorder="1" applyAlignment="1">
      <alignment horizontal="left"/>
    </xf>
    <xf numFmtId="0" fontId="2" fillId="2" borderId="1" xfId="0" applyFont="1" applyFill="1" applyBorder="1"/>
    <xf numFmtId="14" fontId="3" fillId="3" borderId="1" xfId="0" applyNumberFormat="1" applyFont="1" applyFill="1" applyBorder="1" applyAlignment="1">
      <alignment horizontal="left"/>
    </xf>
    <xf numFmtId="0" fontId="3" fillId="3" borderId="1" xfId="0" applyFont="1" applyFill="1" applyBorder="1"/>
    <xf numFmtId="3" fontId="3" fillId="3" borderId="1" xfId="0" applyNumberFormat="1" applyFont="1" applyFill="1" applyBorder="1"/>
    <xf numFmtId="14" fontId="3" fillId="0" borderId="1" xfId="0" applyNumberFormat="1" applyFont="1" applyBorder="1" applyAlignment="1">
      <alignment horizontal="left"/>
    </xf>
    <xf numFmtId="0" fontId="3" fillId="0" borderId="1" xfId="0" applyFont="1" applyBorder="1"/>
    <xf numFmtId="3" fontId="3" fillId="0" borderId="1" xfId="0" applyNumberFormat="1" applyFont="1" applyBorder="1"/>
    <xf numFmtId="0" fontId="3" fillId="0" borderId="2" xfId="0" applyFont="1" applyBorder="1"/>
    <xf numFmtId="3" fontId="3" fillId="0" borderId="2" xfId="0" applyNumberFormat="1"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14" fontId="0" fillId="0" borderId="0" xfId="0" applyNumberFormat="1"/>
    <xf numFmtId="0" fontId="1" fillId="0" borderId="0" xfId="0" applyFont="1"/>
  </cellXfs>
  <cellStyles count="1">
    <cellStyle name="Normal" xfId="0" builtinId="0"/>
  </cellStyles>
  <dxfs count="3">
    <dxf>
      <numFmt numFmtId="19" formatCode="dd/mm/yyyy"/>
    </dxf>
    <dxf>
      <numFmt numFmtId="19" formatCode="dd/mm/yyyy"/>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tables!PivotTable1</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tables'!$A$2:$A$3</c:f>
              <c:strCache>
                <c:ptCount val="1"/>
                <c:pt idx="0">
                  <c:v>Mobiles</c:v>
                </c:pt>
              </c:strCache>
            </c:strRef>
          </c:cat>
          <c:val>
            <c:numRef>
              <c:f>'pivot tables'!$B$2:$B$3</c:f>
              <c:numCache>
                <c:formatCode>#,##0</c:formatCode>
                <c:ptCount val="1"/>
                <c:pt idx="0">
                  <c:v>61370</c:v>
                </c:pt>
              </c:numCache>
            </c:numRef>
          </c:val>
          <c:smooth val="0"/>
          <c:extLst>
            <c:ext xmlns:c16="http://schemas.microsoft.com/office/drawing/2014/chart" uri="{C3380CC4-5D6E-409C-BE32-E72D297353CC}">
              <c16:uniqueId val="{00000002-63C7-49D8-95C8-0B45F8264E4E}"/>
            </c:ext>
          </c:extLst>
        </c:ser>
        <c:dLbls>
          <c:showLegendKey val="0"/>
          <c:showVal val="0"/>
          <c:showCatName val="0"/>
          <c:showSerName val="0"/>
          <c:showPercent val="0"/>
          <c:showBubbleSize val="0"/>
        </c:dLbls>
        <c:smooth val="0"/>
        <c:axId val="1066432015"/>
        <c:axId val="1066433935"/>
      </c:lineChart>
      <c:catAx>
        <c:axId val="10664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3935"/>
        <c:crosses val="autoZero"/>
        <c:auto val="1"/>
        <c:lblAlgn val="ctr"/>
        <c:lblOffset val="100"/>
        <c:noMultiLvlLbl val="0"/>
      </c:catAx>
      <c:valAx>
        <c:axId val="10664339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tables'!$A$2:$A$3</c:f>
              <c:strCache>
                <c:ptCount val="1"/>
                <c:pt idx="0">
                  <c:v>Mobiles</c:v>
                </c:pt>
              </c:strCache>
            </c:strRef>
          </c:cat>
          <c:val>
            <c:numRef>
              <c:f>'pivot tables'!$B$2:$B$3</c:f>
              <c:numCache>
                <c:formatCode>#,##0</c:formatCode>
                <c:ptCount val="1"/>
                <c:pt idx="0">
                  <c:v>61370</c:v>
                </c:pt>
              </c:numCache>
            </c:numRef>
          </c:val>
          <c:extLst>
            <c:ext xmlns:c16="http://schemas.microsoft.com/office/drawing/2014/chart" uri="{C3380CC4-5D6E-409C-BE32-E72D297353CC}">
              <c16:uniqueId val="{00000002-E1FF-4F12-8535-AEC3320B34F7}"/>
            </c:ext>
          </c:extLst>
        </c:ser>
        <c:dLbls>
          <c:showLegendKey val="0"/>
          <c:showVal val="0"/>
          <c:showCatName val="0"/>
          <c:showSerName val="0"/>
          <c:showPercent val="0"/>
          <c:showBubbleSize val="0"/>
        </c:dLbls>
        <c:gapWidth val="219"/>
        <c:overlap val="-27"/>
        <c:axId val="2003132239"/>
        <c:axId val="2003132719"/>
      </c:barChart>
      <c:catAx>
        <c:axId val="200313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32719"/>
        <c:crosses val="autoZero"/>
        <c:auto val="1"/>
        <c:lblAlgn val="ctr"/>
        <c:lblOffset val="100"/>
        <c:noMultiLvlLbl val="0"/>
      </c:catAx>
      <c:valAx>
        <c:axId val="2003132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tables'!$A$92:$A$98</c:f>
              <c:strCache>
                <c:ptCount val="6"/>
                <c:pt idx="0">
                  <c:v>4K LED TV's</c:v>
                </c:pt>
                <c:pt idx="1">
                  <c:v>Furniture</c:v>
                </c:pt>
                <c:pt idx="2">
                  <c:v>Laptops</c:v>
                </c:pt>
                <c:pt idx="3">
                  <c:v>LED TV's</c:v>
                </c:pt>
                <c:pt idx="4">
                  <c:v>Mobiles</c:v>
                </c:pt>
                <c:pt idx="5">
                  <c:v>Speakers</c:v>
                </c:pt>
              </c:strCache>
            </c:strRef>
          </c:cat>
          <c:val>
            <c:numRef>
              <c:f>'pivot tables'!$B$92:$B$98</c:f>
              <c:numCache>
                <c:formatCode>0.00%</c:formatCode>
                <c:ptCount val="6"/>
                <c:pt idx="0">
                  <c:v>0.40657099967537252</c:v>
                </c:pt>
                <c:pt idx="1">
                  <c:v>4.2240991274168693E-2</c:v>
                </c:pt>
                <c:pt idx="2">
                  <c:v>0.40823893810419143</c:v>
                </c:pt>
                <c:pt idx="3">
                  <c:v>2.9551284528586498E-2</c:v>
                </c:pt>
                <c:pt idx="4">
                  <c:v>8.028829832458026E-2</c:v>
                </c:pt>
                <c:pt idx="5">
                  <c:v>3.3109488093100631E-2</c:v>
                </c:pt>
              </c:numCache>
            </c:numRef>
          </c:val>
          <c:extLst>
            <c:ext xmlns:c16="http://schemas.microsoft.com/office/drawing/2014/chart" uri="{C3380CC4-5D6E-409C-BE32-E72D297353CC}">
              <c16:uniqueId val="{00000000-6AF5-4606-A13A-9B0677FF19D8}"/>
            </c:ext>
          </c:extLst>
        </c:ser>
        <c:dLbls>
          <c:showLegendKey val="0"/>
          <c:showVal val="0"/>
          <c:showCatName val="0"/>
          <c:showSerName val="0"/>
          <c:showPercent val="0"/>
          <c:showBubbleSize val="0"/>
        </c:dLbls>
        <c:gapWidth val="182"/>
        <c:axId val="64949663"/>
        <c:axId val="64948703"/>
      </c:barChart>
      <c:catAx>
        <c:axId val="649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48703"/>
        <c:crosses val="autoZero"/>
        <c:auto val="1"/>
        <c:lblAlgn val="ctr"/>
        <c:lblOffset val="100"/>
        <c:noMultiLvlLbl val="0"/>
      </c:catAx>
      <c:valAx>
        <c:axId val="649487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4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1928652351"/>
        <c:axId val="1928657151"/>
      </c:lineChart>
      <c:catAx>
        <c:axId val="192865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57151"/>
        <c:crosses val="autoZero"/>
        <c:auto val="1"/>
        <c:lblAlgn val="ctr"/>
        <c:lblOffset val="100"/>
        <c:noMultiLvlLbl val="0"/>
      </c:catAx>
      <c:valAx>
        <c:axId val="192865715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7847769028872"/>
          <c:y val="4.1666666666666664E-2"/>
          <c:w val="0.80815485564304457"/>
          <c:h val="0.8416746864975212"/>
        </c:manualLayout>
      </c:layout>
      <c:lineChart>
        <c:grouping val="standard"/>
        <c:varyColors val="0"/>
        <c:ser>
          <c:idx val="0"/>
          <c:order val="0"/>
          <c:tx>
            <c:strRef>
              <c:f>'pivot tables'!$C$114</c:f>
              <c:strCache>
                <c:ptCount val="1"/>
                <c:pt idx="0">
                  <c:v>Total</c:v>
                </c:pt>
              </c:strCache>
            </c:strRef>
          </c:tx>
          <c:spPr>
            <a:ln w="28575" cap="rnd">
              <a:solidFill>
                <a:schemeClr val="accent1"/>
              </a:solidFill>
              <a:round/>
            </a:ln>
            <a:effectLst/>
          </c:spPr>
          <c:marker>
            <c:symbol val="none"/>
          </c:marker>
          <c:cat>
            <c:strRef>
              <c:f>'pivot tables'!$B$115:$B$127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tables'!$C$115:$C$127</c:f>
              <c:numCache>
                <c:formatCode>#,##0</c:formatCode>
                <c:ptCount val="12"/>
                <c:pt idx="0">
                  <c:v>15025154</c:v>
                </c:pt>
                <c:pt idx="1">
                  <c:v>7866771</c:v>
                </c:pt>
                <c:pt idx="2">
                  <c:v>10397176</c:v>
                </c:pt>
                <c:pt idx="3">
                  <c:v>15416618</c:v>
                </c:pt>
                <c:pt idx="4">
                  <c:v>13935511</c:v>
                </c:pt>
                <c:pt idx="5">
                  <c:v>14009430</c:v>
                </c:pt>
                <c:pt idx="6">
                  <c:v>12991420</c:v>
                </c:pt>
                <c:pt idx="7">
                  <c:v>11123456</c:v>
                </c:pt>
                <c:pt idx="8">
                  <c:v>7476424</c:v>
                </c:pt>
                <c:pt idx="9">
                  <c:v>7275131</c:v>
                </c:pt>
                <c:pt idx="10">
                  <c:v>8004929</c:v>
                </c:pt>
                <c:pt idx="11">
                  <c:v>7591333</c:v>
                </c:pt>
              </c:numCache>
            </c:numRef>
          </c:val>
          <c:smooth val="0"/>
          <c:extLst>
            <c:ext xmlns:c16="http://schemas.microsoft.com/office/drawing/2014/chart" uri="{C3380CC4-5D6E-409C-BE32-E72D297353CC}">
              <c16:uniqueId val="{00000000-6A1B-4B5C-A74C-7A77D707220D}"/>
            </c:ext>
          </c:extLst>
        </c:ser>
        <c:dLbls>
          <c:showLegendKey val="0"/>
          <c:showVal val="0"/>
          <c:showCatName val="0"/>
          <c:showSerName val="0"/>
          <c:showPercent val="0"/>
          <c:showBubbleSize val="0"/>
        </c:dLbls>
        <c:smooth val="0"/>
        <c:axId val="64072431"/>
        <c:axId val="64072911"/>
      </c:lineChart>
      <c:catAx>
        <c:axId val="6407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72911"/>
        <c:crosses val="autoZero"/>
        <c:auto val="1"/>
        <c:lblAlgn val="ctr"/>
        <c:lblOffset val="100"/>
        <c:noMultiLvlLbl val="0"/>
      </c:catAx>
      <c:valAx>
        <c:axId val="6407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tables'!$B$62</c:f>
              <c:strCache>
                <c:ptCount val="1"/>
                <c:pt idx="0">
                  <c:v>Total</c:v>
                </c:pt>
              </c:strCache>
            </c:strRef>
          </c:tx>
          <c:spPr>
            <a:solidFill>
              <a:schemeClr val="accent1"/>
            </a:solidFill>
            <a:ln>
              <a:noFill/>
            </a:ln>
            <a:effectLst/>
          </c:spPr>
          <c:invertIfNegative val="0"/>
          <c:cat>
            <c:strRef>
              <c:f>'pivot tables'!$A$63:$A$69</c:f>
              <c:strCache>
                <c:ptCount val="6"/>
                <c:pt idx="0">
                  <c:v>Bapatla</c:v>
                </c:pt>
                <c:pt idx="1">
                  <c:v>Chirala</c:v>
                </c:pt>
                <c:pt idx="2">
                  <c:v>Guntur</c:v>
                </c:pt>
                <c:pt idx="3">
                  <c:v>Ongole</c:v>
                </c:pt>
                <c:pt idx="4">
                  <c:v>Tenali</c:v>
                </c:pt>
                <c:pt idx="5">
                  <c:v>Vijayawada</c:v>
                </c:pt>
              </c:strCache>
            </c:strRef>
          </c:cat>
          <c:val>
            <c:numRef>
              <c:f>'pivot tables'!$B$63:$B$69</c:f>
              <c:numCache>
                <c:formatCode>#,##0</c:formatCode>
                <c:ptCount val="6"/>
                <c:pt idx="0">
                  <c:v>19527790</c:v>
                </c:pt>
                <c:pt idx="1">
                  <c:v>19085520</c:v>
                </c:pt>
                <c:pt idx="2">
                  <c:v>21094901</c:v>
                </c:pt>
                <c:pt idx="3">
                  <c:v>12545248</c:v>
                </c:pt>
                <c:pt idx="4">
                  <c:v>43332115</c:v>
                </c:pt>
                <c:pt idx="5">
                  <c:v>15527779</c:v>
                </c:pt>
              </c:numCache>
            </c:numRef>
          </c:val>
          <c:extLst>
            <c:ext xmlns:c16="http://schemas.microsoft.com/office/drawing/2014/chart" uri="{C3380CC4-5D6E-409C-BE32-E72D297353CC}">
              <c16:uniqueId val="{00000000-625B-4450-9C2C-3E1CC1CEF296}"/>
            </c:ext>
          </c:extLst>
        </c:ser>
        <c:dLbls>
          <c:showLegendKey val="0"/>
          <c:showVal val="0"/>
          <c:showCatName val="0"/>
          <c:showSerName val="0"/>
          <c:showPercent val="0"/>
          <c:showBubbleSize val="0"/>
        </c:dLbls>
        <c:gapWidth val="219"/>
        <c:overlap val="-27"/>
        <c:axId val="1867833887"/>
        <c:axId val="1867829567"/>
      </c:barChart>
      <c:catAx>
        <c:axId val="186783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29567"/>
        <c:crosses val="autoZero"/>
        <c:auto val="1"/>
        <c:lblAlgn val="ctr"/>
        <c:lblOffset val="100"/>
        <c:noMultiLvlLbl val="0"/>
      </c:catAx>
      <c:valAx>
        <c:axId val="18678295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3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tables'!$A$2:$A$3</c:f>
              <c:strCache>
                <c:ptCount val="1"/>
                <c:pt idx="0">
                  <c:v>Mobiles</c:v>
                </c:pt>
              </c:strCache>
            </c:strRef>
          </c:cat>
          <c:val>
            <c:numRef>
              <c:f>'pivot tables'!$B$2:$B$3</c:f>
              <c:numCache>
                <c:formatCode>#,##0</c:formatCode>
                <c:ptCount val="1"/>
                <c:pt idx="0">
                  <c:v>61370</c:v>
                </c:pt>
              </c:numCache>
            </c:numRef>
          </c:val>
          <c:smooth val="0"/>
          <c:extLst>
            <c:ext xmlns:c16="http://schemas.microsoft.com/office/drawing/2014/chart" uri="{C3380CC4-5D6E-409C-BE32-E72D297353CC}">
              <c16:uniqueId val="{00000001-E830-4989-A31B-62F509B90B03}"/>
            </c:ext>
          </c:extLst>
        </c:ser>
        <c:dLbls>
          <c:showLegendKey val="0"/>
          <c:showVal val="0"/>
          <c:showCatName val="0"/>
          <c:showSerName val="0"/>
          <c:showPercent val="0"/>
          <c:showBubbleSize val="0"/>
        </c:dLbls>
        <c:smooth val="0"/>
        <c:axId val="1066432015"/>
        <c:axId val="1066433935"/>
      </c:lineChart>
      <c:catAx>
        <c:axId val="10664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3935"/>
        <c:crosses val="autoZero"/>
        <c:auto val="1"/>
        <c:lblAlgn val="ctr"/>
        <c:lblOffset val="100"/>
        <c:noMultiLvlLbl val="0"/>
      </c:catAx>
      <c:valAx>
        <c:axId val="10664339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2317453124117"/>
          <c:y val="9.5469145083031504E-2"/>
          <c:w val="0.75156743896221601"/>
          <c:h val="0.70319278343470237"/>
        </c:manualLayout>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tables'!$A$2:$A$3</c:f>
              <c:strCache>
                <c:ptCount val="1"/>
                <c:pt idx="0">
                  <c:v>Mobiles</c:v>
                </c:pt>
              </c:strCache>
            </c:strRef>
          </c:cat>
          <c:val>
            <c:numRef>
              <c:f>'pivot tables'!$B$2:$B$3</c:f>
              <c:numCache>
                <c:formatCode>#,##0</c:formatCode>
                <c:ptCount val="1"/>
                <c:pt idx="0">
                  <c:v>61370</c:v>
                </c:pt>
              </c:numCache>
            </c:numRef>
          </c:val>
          <c:smooth val="0"/>
          <c:extLst>
            <c:ext xmlns:c16="http://schemas.microsoft.com/office/drawing/2014/chart" uri="{C3380CC4-5D6E-409C-BE32-E72D297353CC}">
              <c16:uniqueId val="{00000001-FBDB-488A-A42F-FEAAD25B5780}"/>
            </c:ext>
          </c:extLst>
        </c:ser>
        <c:dLbls>
          <c:showLegendKey val="0"/>
          <c:showVal val="0"/>
          <c:showCatName val="0"/>
          <c:showSerName val="0"/>
          <c:showPercent val="0"/>
          <c:showBubbleSize val="0"/>
        </c:dLbls>
        <c:smooth val="0"/>
        <c:axId val="1066432015"/>
        <c:axId val="1066433935"/>
      </c:lineChart>
      <c:catAx>
        <c:axId val="10664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3935"/>
        <c:crosses val="autoZero"/>
        <c:auto val="1"/>
        <c:lblAlgn val="ctr"/>
        <c:lblOffset val="100"/>
        <c:noMultiLvlLbl val="0"/>
      </c:catAx>
      <c:valAx>
        <c:axId val="10664339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tables'!$A$92:$A$98</c:f>
              <c:strCache>
                <c:ptCount val="6"/>
                <c:pt idx="0">
                  <c:v>4K LED TV's</c:v>
                </c:pt>
                <c:pt idx="1">
                  <c:v>Furniture</c:v>
                </c:pt>
                <c:pt idx="2">
                  <c:v>Laptops</c:v>
                </c:pt>
                <c:pt idx="3">
                  <c:v>LED TV's</c:v>
                </c:pt>
                <c:pt idx="4">
                  <c:v>Mobiles</c:v>
                </c:pt>
                <c:pt idx="5">
                  <c:v>Speakers</c:v>
                </c:pt>
              </c:strCache>
            </c:strRef>
          </c:cat>
          <c:val>
            <c:numRef>
              <c:f>'pivot tables'!$B$92:$B$98</c:f>
              <c:numCache>
                <c:formatCode>0.00%</c:formatCode>
                <c:ptCount val="6"/>
                <c:pt idx="0">
                  <c:v>0.40657099967537252</c:v>
                </c:pt>
                <c:pt idx="1">
                  <c:v>4.2240991274168693E-2</c:v>
                </c:pt>
                <c:pt idx="2">
                  <c:v>0.40823893810419143</c:v>
                </c:pt>
                <c:pt idx="3">
                  <c:v>2.9551284528586498E-2</c:v>
                </c:pt>
                <c:pt idx="4">
                  <c:v>8.028829832458026E-2</c:v>
                </c:pt>
                <c:pt idx="5">
                  <c:v>3.3109488093100631E-2</c:v>
                </c:pt>
              </c:numCache>
            </c:numRef>
          </c:val>
          <c:extLst>
            <c:ext xmlns:c16="http://schemas.microsoft.com/office/drawing/2014/chart" uri="{C3380CC4-5D6E-409C-BE32-E72D297353CC}">
              <c16:uniqueId val="{00000000-8EE6-4DE1-8FAB-9C3E1C2CE3F4}"/>
            </c:ext>
          </c:extLst>
        </c:ser>
        <c:dLbls>
          <c:showLegendKey val="0"/>
          <c:showVal val="0"/>
          <c:showCatName val="0"/>
          <c:showSerName val="0"/>
          <c:showPercent val="0"/>
          <c:showBubbleSize val="0"/>
        </c:dLbls>
        <c:gapWidth val="182"/>
        <c:axId val="64949663"/>
        <c:axId val="64948703"/>
      </c:barChart>
      <c:catAx>
        <c:axId val="649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48703"/>
        <c:crosses val="autoZero"/>
        <c:auto val="1"/>
        <c:lblAlgn val="ctr"/>
        <c:lblOffset val="100"/>
        <c:noMultiLvlLbl val="0"/>
      </c:catAx>
      <c:valAx>
        <c:axId val="649487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4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0069991251092"/>
          <c:y val="0.12208416311555564"/>
          <c:w val="0.80815485564304457"/>
          <c:h val="0.67170335553223826"/>
        </c:manualLayout>
      </c:layout>
      <c:lineChart>
        <c:grouping val="standard"/>
        <c:varyColors val="0"/>
        <c:ser>
          <c:idx val="0"/>
          <c:order val="0"/>
          <c:tx>
            <c:strRef>
              <c:f>'pivot tables'!$C$114</c:f>
              <c:strCache>
                <c:ptCount val="1"/>
                <c:pt idx="0">
                  <c:v>Total</c:v>
                </c:pt>
              </c:strCache>
            </c:strRef>
          </c:tx>
          <c:spPr>
            <a:ln w="28575" cap="rnd">
              <a:solidFill>
                <a:schemeClr val="accent1"/>
              </a:solidFill>
              <a:round/>
            </a:ln>
            <a:effectLst/>
          </c:spPr>
          <c:marker>
            <c:symbol val="none"/>
          </c:marker>
          <c:cat>
            <c:strRef>
              <c:f>'pivot tables'!$B$115:$B$127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tables'!$C$115:$C$127</c:f>
              <c:numCache>
                <c:formatCode>#,##0</c:formatCode>
                <c:ptCount val="12"/>
                <c:pt idx="0">
                  <c:v>15025154</c:v>
                </c:pt>
                <c:pt idx="1">
                  <c:v>7866771</c:v>
                </c:pt>
                <c:pt idx="2">
                  <c:v>10397176</c:v>
                </c:pt>
                <c:pt idx="3">
                  <c:v>15416618</c:v>
                </c:pt>
                <c:pt idx="4">
                  <c:v>13935511</c:v>
                </c:pt>
                <c:pt idx="5">
                  <c:v>14009430</c:v>
                </c:pt>
                <c:pt idx="6">
                  <c:v>12991420</c:v>
                </c:pt>
                <c:pt idx="7">
                  <c:v>11123456</c:v>
                </c:pt>
                <c:pt idx="8">
                  <c:v>7476424</c:v>
                </c:pt>
                <c:pt idx="9">
                  <c:v>7275131</c:v>
                </c:pt>
                <c:pt idx="10">
                  <c:v>8004929</c:v>
                </c:pt>
                <c:pt idx="11">
                  <c:v>7591333</c:v>
                </c:pt>
              </c:numCache>
            </c:numRef>
          </c:val>
          <c:smooth val="0"/>
          <c:extLst>
            <c:ext xmlns:c16="http://schemas.microsoft.com/office/drawing/2014/chart" uri="{C3380CC4-5D6E-409C-BE32-E72D297353CC}">
              <c16:uniqueId val="{00000000-0C62-4B40-A48A-DD51C033506D}"/>
            </c:ext>
          </c:extLst>
        </c:ser>
        <c:dLbls>
          <c:showLegendKey val="0"/>
          <c:showVal val="0"/>
          <c:showCatName val="0"/>
          <c:showSerName val="0"/>
          <c:showPercent val="0"/>
          <c:showBubbleSize val="0"/>
        </c:dLbls>
        <c:smooth val="0"/>
        <c:axId val="64072431"/>
        <c:axId val="64072911"/>
      </c:lineChart>
      <c:catAx>
        <c:axId val="6407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72911"/>
        <c:crosses val="autoZero"/>
        <c:auto val="1"/>
        <c:lblAlgn val="ctr"/>
        <c:lblOffset val="100"/>
        <c:noMultiLvlLbl val="0"/>
      </c:catAx>
      <c:valAx>
        <c:axId val="6407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7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 BOARD.xlsx]pivot tables!PivotTable5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33070866141732"/>
          <c:y val="0.19791666666666666"/>
          <c:w val="0.75766929133858263"/>
          <c:h val="0.43594488188976377"/>
        </c:manualLayout>
      </c:layout>
      <c:barChart>
        <c:barDir val="col"/>
        <c:grouping val="clustered"/>
        <c:varyColors val="0"/>
        <c:ser>
          <c:idx val="0"/>
          <c:order val="0"/>
          <c:tx>
            <c:strRef>
              <c:f>'pivot tables'!$B$62</c:f>
              <c:strCache>
                <c:ptCount val="1"/>
                <c:pt idx="0">
                  <c:v>Total</c:v>
                </c:pt>
              </c:strCache>
            </c:strRef>
          </c:tx>
          <c:spPr>
            <a:solidFill>
              <a:schemeClr val="accent1"/>
            </a:solidFill>
            <a:ln>
              <a:noFill/>
            </a:ln>
            <a:effectLst/>
          </c:spPr>
          <c:invertIfNegative val="0"/>
          <c:cat>
            <c:strRef>
              <c:f>'pivot tables'!$A$63:$A$69</c:f>
              <c:strCache>
                <c:ptCount val="6"/>
                <c:pt idx="0">
                  <c:v>Bapatla</c:v>
                </c:pt>
                <c:pt idx="1">
                  <c:v>Chirala</c:v>
                </c:pt>
                <c:pt idx="2">
                  <c:v>Guntur</c:v>
                </c:pt>
                <c:pt idx="3">
                  <c:v>Ongole</c:v>
                </c:pt>
                <c:pt idx="4">
                  <c:v>Tenali</c:v>
                </c:pt>
                <c:pt idx="5">
                  <c:v>Vijayawada</c:v>
                </c:pt>
              </c:strCache>
            </c:strRef>
          </c:cat>
          <c:val>
            <c:numRef>
              <c:f>'pivot tables'!$B$63:$B$69</c:f>
              <c:numCache>
                <c:formatCode>#,##0</c:formatCode>
                <c:ptCount val="6"/>
                <c:pt idx="0">
                  <c:v>19527790</c:v>
                </c:pt>
                <c:pt idx="1">
                  <c:v>19085520</c:v>
                </c:pt>
                <c:pt idx="2">
                  <c:v>21094901</c:v>
                </c:pt>
                <c:pt idx="3">
                  <c:v>12545248</c:v>
                </c:pt>
                <c:pt idx="4">
                  <c:v>43332115</c:v>
                </c:pt>
                <c:pt idx="5">
                  <c:v>15527779</c:v>
                </c:pt>
              </c:numCache>
            </c:numRef>
          </c:val>
          <c:extLst>
            <c:ext xmlns:c16="http://schemas.microsoft.com/office/drawing/2014/chart" uri="{C3380CC4-5D6E-409C-BE32-E72D297353CC}">
              <c16:uniqueId val="{00000000-005C-4AA3-AD7E-0060BE2268D1}"/>
            </c:ext>
          </c:extLst>
        </c:ser>
        <c:dLbls>
          <c:showLegendKey val="0"/>
          <c:showVal val="0"/>
          <c:showCatName val="0"/>
          <c:showSerName val="0"/>
          <c:showPercent val="0"/>
          <c:showBubbleSize val="0"/>
        </c:dLbls>
        <c:gapWidth val="219"/>
        <c:overlap val="-27"/>
        <c:axId val="1867833887"/>
        <c:axId val="1867829567"/>
      </c:barChart>
      <c:catAx>
        <c:axId val="186783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29567"/>
        <c:crosses val="autoZero"/>
        <c:auto val="1"/>
        <c:lblAlgn val="ctr"/>
        <c:lblOffset val="100"/>
        <c:noMultiLvlLbl val="0"/>
      </c:catAx>
      <c:valAx>
        <c:axId val="18678295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3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26</xdr:row>
      <xdr:rowOff>95250</xdr:rowOff>
    </xdr:from>
    <xdr:to>
      <xdr:col>13</xdr:col>
      <xdr:colOff>228600</xdr:colOff>
      <xdr:row>32</xdr:row>
      <xdr:rowOff>19050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901D13C5-C3DB-5C19-A11F-2977079C40A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52800" y="4883150"/>
              <a:ext cx="5676900" cy="1028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406400</xdr:colOff>
      <xdr:row>21</xdr:row>
      <xdr:rowOff>177801</xdr:rowOff>
    </xdr:from>
    <xdr:to>
      <xdr:col>9</xdr:col>
      <xdr:colOff>133350</xdr:colOff>
      <xdr:row>28</xdr:row>
      <xdr:rowOff>63500</xdr:rowOff>
    </xdr:to>
    <mc:AlternateContent xmlns:mc="http://schemas.openxmlformats.org/markup-compatibility/2006" xmlns:a14="http://schemas.microsoft.com/office/drawing/2010/main">
      <mc:Choice Requires="a14">
        <xdr:graphicFrame macro="">
          <xdr:nvGraphicFramePr>
            <xdr:cNvPr id="3" name="Place">
              <a:extLst>
                <a:ext uri="{FF2B5EF4-FFF2-40B4-BE49-F238E27FC236}">
                  <a16:creationId xmlns:a16="http://schemas.microsoft.com/office/drawing/2014/main" id="{DE3EB8BF-78FF-16AD-AFCC-BB61BE864C10}"/>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3721100" y="4044951"/>
              <a:ext cx="2774950" cy="117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2</xdr:row>
      <xdr:rowOff>114301</xdr:rowOff>
    </xdr:from>
    <xdr:to>
      <xdr:col>18</xdr:col>
      <xdr:colOff>215900</xdr:colOff>
      <xdr:row>6</xdr:row>
      <xdr:rowOff>25400</xdr:rowOff>
    </xdr:to>
    <mc:AlternateContent xmlns:mc="http://schemas.openxmlformats.org/markup-compatibility/2006" xmlns:a14="http://schemas.microsoft.com/office/drawing/2010/main">
      <mc:Choice Requires="a14">
        <xdr:graphicFrame macro="">
          <xdr:nvGraphicFramePr>
            <xdr:cNvPr id="4" name="Products">
              <a:extLst>
                <a:ext uri="{FF2B5EF4-FFF2-40B4-BE49-F238E27FC236}">
                  <a16:creationId xmlns:a16="http://schemas.microsoft.com/office/drawing/2014/main" id="{4E3A7E48-22FA-A741-3DCA-9B9EA78F119F}"/>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5200650" y="482601"/>
              <a:ext cx="686435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577850</xdr:colOff>
      <xdr:row>8</xdr:row>
      <xdr:rowOff>6350</xdr:rowOff>
    </xdr:from>
    <xdr:to>
      <xdr:col>8</xdr:col>
      <xdr:colOff>450850</xdr:colOff>
      <xdr:row>18</xdr:row>
      <xdr:rowOff>44450</xdr:rowOff>
    </xdr:to>
    <xdr:graphicFrame macro="">
      <xdr:nvGraphicFramePr>
        <xdr:cNvPr id="5" name="Chart 4">
          <a:extLst>
            <a:ext uri="{FF2B5EF4-FFF2-40B4-BE49-F238E27FC236}">
              <a16:creationId xmlns:a16="http://schemas.microsoft.com/office/drawing/2014/main" id="{68A7B2BF-F932-E189-1097-40899BD86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95250</xdr:rowOff>
    </xdr:from>
    <xdr:to>
      <xdr:col>8</xdr:col>
      <xdr:colOff>444500</xdr:colOff>
      <xdr:row>20</xdr:row>
      <xdr:rowOff>152400</xdr:rowOff>
    </xdr:to>
    <xdr:graphicFrame macro="">
      <xdr:nvGraphicFramePr>
        <xdr:cNvPr id="6" name="Chart 5">
          <a:extLst>
            <a:ext uri="{FF2B5EF4-FFF2-40B4-BE49-F238E27FC236}">
              <a16:creationId xmlns:a16="http://schemas.microsoft.com/office/drawing/2014/main" id="{274B4C9E-E380-B64D-6F5A-738D8553A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253999</xdr:colOff>
      <xdr:row>92</xdr:row>
      <xdr:rowOff>127000</xdr:rowOff>
    </xdr:from>
    <xdr:to>
      <xdr:col>12</xdr:col>
      <xdr:colOff>79374</xdr:colOff>
      <xdr:row>100</xdr:row>
      <xdr:rowOff>146050</xdr:rowOff>
    </xdr:to>
    <xdr:graphicFrame macro="">
      <xdr:nvGraphicFramePr>
        <xdr:cNvPr id="8" name="Chart 7">
          <a:extLst>
            <a:ext uri="{FF2B5EF4-FFF2-40B4-BE49-F238E27FC236}">
              <a16:creationId xmlns:a16="http://schemas.microsoft.com/office/drawing/2014/main" id="{FFC1DF99-C6D3-FF75-49F4-A5AA6B0A6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200025</xdr:colOff>
      <xdr:row>107</xdr:row>
      <xdr:rowOff>101600</xdr:rowOff>
    </xdr:from>
    <xdr:to>
      <xdr:col>15</xdr:col>
      <xdr:colOff>504825</xdr:colOff>
      <xdr:row>122</xdr:row>
      <xdr:rowOff>82550</xdr:rowOff>
    </xdr:to>
    <xdr:graphicFrame macro="">
      <xdr:nvGraphicFramePr>
        <xdr:cNvPr id="10" name="Chart 9">
          <a:extLst>
            <a:ext uri="{FF2B5EF4-FFF2-40B4-BE49-F238E27FC236}">
              <a16:creationId xmlns:a16="http://schemas.microsoft.com/office/drawing/2014/main" id="{B2C0290B-1A42-C9AA-772A-28A6B113C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292100</xdr:colOff>
      <xdr:row>117</xdr:row>
      <xdr:rowOff>101600</xdr:rowOff>
    </xdr:from>
    <xdr:to>
      <xdr:col>8</xdr:col>
      <xdr:colOff>361950</xdr:colOff>
      <xdr:row>124</xdr:row>
      <xdr:rowOff>171450</xdr:rowOff>
    </xdr:to>
    <xdr:graphicFrame macro="">
      <xdr:nvGraphicFramePr>
        <xdr:cNvPr id="11" name="Chart 10">
          <a:extLst>
            <a:ext uri="{FF2B5EF4-FFF2-40B4-BE49-F238E27FC236}">
              <a16:creationId xmlns:a16="http://schemas.microsoft.com/office/drawing/2014/main" id="{9827F027-B209-2BCE-4116-12926B0CD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xdr:colOff>
      <xdr:row>56</xdr:row>
      <xdr:rowOff>165100</xdr:rowOff>
    </xdr:from>
    <xdr:to>
      <xdr:col>7</xdr:col>
      <xdr:colOff>279400</xdr:colOff>
      <xdr:row>63</xdr:row>
      <xdr:rowOff>95250</xdr:rowOff>
    </xdr:to>
    <xdr:graphicFrame macro="">
      <xdr:nvGraphicFramePr>
        <xdr:cNvPr id="12" name="Chart 11">
          <a:extLst>
            <a:ext uri="{FF2B5EF4-FFF2-40B4-BE49-F238E27FC236}">
              <a16:creationId xmlns:a16="http://schemas.microsoft.com/office/drawing/2014/main" id="{9855D558-8E78-1651-622F-27AFD8C07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596900</xdr:colOff>
      <xdr:row>125</xdr:row>
      <xdr:rowOff>146051</xdr:rowOff>
    </xdr:from>
    <xdr:to>
      <xdr:col>15</xdr:col>
      <xdr:colOff>520700</xdr:colOff>
      <xdr:row>129</xdr:row>
      <xdr:rowOff>69850</xdr:rowOff>
    </xdr:to>
    <mc:AlternateContent xmlns:mc="http://schemas.openxmlformats.org/markup-compatibility/2006" xmlns:a14="http://schemas.microsoft.com/office/drawing/2010/main">
      <mc:Choice Requires="a14">
        <xdr:graphicFrame macro="">
          <xdr:nvGraphicFramePr>
            <xdr:cNvPr id="13" name="Products 2">
              <a:extLst>
                <a:ext uri="{FF2B5EF4-FFF2-40B4-BE49-F238E27FC236}">
                  <a16:creationId xmlns:a16="http://schemas.microsoft.com/office/drawing/2014/main" id="{B4ECC376-E0FE-29B2-0819-2C90F009934F}"/>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3302000" y="23164801"/>
              <a:ext cx="7239000" cy="660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825500</xdr:colOff>
      <xdr:row>151</xdr:row>
      <xdr:rowOff>38100</xdr:rowOff>
    </xdr:from>
    <xdr:to>
      <xdr:col>11</xdr:col>
      <xdr:colOff>603250</xdr:colOff>
      <xdr:row>156</xdr:row>
      <xdr:rowOff>127000</xdr:rowOff>
    </xdr:to>
    <mc:AlternateContent xmlns:mc="http://schemas.openxmlformats.org/markup-compatibility/2006" xmlns:tsle="http://schemas.microsoft.com/office/drawing/2012/timeslicer">
      <mc:Choice Requires="tsle">
        <xdr:graphicFrame macro="">
          <xdr:nvGraphicFramePr>
            <xdr:cNvPr id="14" name="Date 1">
              <a:extLst>
                <a:ext uri="{FF2B5EF4-FFF2-40B4-BE49-F238E27FC236}">
                  <a16:creationId xmlns:a16="http://schemas.microsoft.com/office/drawing/2014/main" id="{10FCA699-ED20-B8E6-0E22-B4C91623597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52700" y="27844750"/>
              <a:ext cx="5632450" cy="1009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101600</xdr:colOff>
      <xdr:row>203</xdr:row>
      <xdr:rowOff>146051</xdr:rowOff>
    </xdr:from>
    <xdr:to>
      <xdr:col>9</xdr:col>
      <xdr:colOff>501650</xdr:colOff>
      <xdr:row>210</xdr:row>
      <xdr:rowOff>38100</xdr:rowOff>
    </xdr:to>
    <mc:AlternateContent xmlns:mc="http://schemas.openxmlformats.org/markup-compatibility/2006" xmlns:a14="http://schemas.microsoft.com/office/drawing/2010/main">
      <mc:Choice Requires="a14">
        <xdr:graphicFrame macro="">
          <xdr:nvGraphicFramePr>
            <xdr:cNvPr id="15" name="Place 1">
              <a:extLst>
                <a:ext uri="{FF2B5EF4-FFF2-40B4-BE49-F238E27FC236}">
                  <a16:creationId xmlns:a16="http://schemas.microsoft.com/office/drawing/2014/main" id="{5AB22856-CE09-C139-D16C-C283B0407024}"/>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3416300" y="37528501"/>
              <a:ext cx="344805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44450</xdr:rowOff>
    </xdr:from>
    <xdr:to>
      <xdr:col>19</xdr:col>
      <xdr:colOff>150812</xdr:colOff>
      <xdr:row>28</xdr:row>
      <xdr:rowOff>95250</xdr:rowOff>
    </xdr:to>
    <xdr:sp macro="" textlink="">
      <xdr:nvSpPr>
        <xdr:cNvPr id="4" name="Rectangle: Rounded Corners 3">
          <a:extLst>
            <a:ext uri="{FF2B5EF4-FFF2-40B4-BE49-F238E27FC236}">
              <a16:creationId xmlns:a16="http://schemas.microsoft.com/office/drawing/2014/main" id="{39E51FF0-225C-AFDE-23BD-9275D0EFE7BC}"/>
            </a:ext>
          </a:extLst>
        </xdr:cNvPr>
        <xdr:cNvSpPr/>
      </xdr:nvSpPr>
      <xdr:spPr>
        <a:xfrm>
          <a:off x="19050" y="44450"/>
          <a:ext cx="11744325" cy="5162550"/>
        </a:xfrm>
        <a:prstGeom prst="roundRect">
          <a:avLst>
            <a:gd name="adj" fmla="val 15843"/>
          </a:avLst>
        </a:prstGeom>
        <a:solidFill>
          <a:schemeClr val="accent1"/>
        </a:solidFill>
        <a:ln>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IN" sz="1100">
            <a:ln>
              <a:solidFill>
                <a:sysClr val="windowText" lastClr="000000"/>
              </a:solidFill>
            </a:ln>
            <a:solidFill>
              <a:sysClr val="windowText" lastClr="000000"/>
            </a:solidFill>
            <a:latin typeface="+mn-lt"/>
            <a:ea typeface="+mn-ea"/>
            <a:cs typeface="+mn-cs"/>
          </a:endParaRPr>
        </a:p>
      </xdr:txBody>
    </xdr:sp>
    <xdr:clientData/>
  </xdr:twoCellAnchor>
  <xdr:twoCellAnchor>
    <xdr:from>
      <xdr:col>2</xdr:col>
      <xdr:colOff>521448</xdr:colOff>
      <xdr:row>0</xdr:row>
      <xdr:rowOff>143060</xdr:rowOff>
    </xdr:from>
    <xdr:to>
      <xdr:col>18</xdr:col>
      <xdr:colOff>485588</xdr:colOff>
      <xdr:row>28</xdr:row>
      <xdr:rowOff>10270</xdr:rowOff>
    </xdr:to>
    <xdr:sp macro="[0]!RectangleRoundedCorners4_Click" textlink="">
      <xdr:nvSpPr>
        <xdr:cNvPr id="5" name="Rectangle: Rounded Corners 4">
          <a:extLst>
            <a:ext uri="{FF2B5EF4-FFF2-40B4-BE49-F238E27FC236}">
              <a16:creationId xmlns:a16="http://schemas.microsoft.com/office/drawing/2014/main" id="{CFCBB1FA-9E00-AB97-6E41-631E1CC14785}"/>
            </a:ext>
          </a:extLst>
        </xdr:cNvPr>
        <xdr:cNvSpPr/>
      </xdr:nvSpPr>
      <xdr:spPr>
        <a:xfrm>
          <a:off x="1746624" y="143060"/>
          <a:ext cx="9765552" cy="5096622"/>
        </a:xfrm>
        <a:prstGeom prst="roundRect">
          <a:avLst>
            <a:gd name="adj" fmla="val 595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285751</xdr:colOff>
      <xdr:row>11</xdr:row>
      <xdr:rowOff>172571</xdr:rowOff>
    </xdr:from>
    <xdr:to>
      <xdr:col>2</xdr:col>
      <xdr:colOff>222251</xdr:colOff>
      <xdr:row>13</xdr:row>
      <xdr:rowOff>147171</xdr:rowOff>
    </xdr:to>
    <xdr:sp macro="" textlink="">
      <xdr:nvSpPr>
        <xdr:cNvPr id="12" name="Rectangle: Rounded Corners 11">
          <a:extLst>
            <a:ext uri="{FF2B5EF4-FFF2-40B4-BE49-F238E27FC236}">
              <a16:creationId xmlns:a16="http://schemas.microsoft.com/office/drawing/2014/main" id="{D1C1922D-BC2A-E47E-89C7-4A24C9ACF774}"/>
            </a:ext>
          </a:extLst>
        </xdr:cNvPr>
        <xdr:cNvSpPr/>
      </xdr:nvSpPr>
      <xdr:spPr>
        <a:xfrm>
          <a:off x="285751" y="2226983"/>
          <a:ext cx="1161676" cy="348129"/>
        </a:xfrm>
        <a:prstGeom prst="roundRect">
          <a:avLst/>
        </a:prstGeom>
        <a:solidFill>
          <a:schemeClr val="bg1"/>
        </a:solidFill>
        <a:ln>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n>
                <a:solidFill>
                  <a:sysClr val="windowText" lastClr="000000"/>
                </a:solidFill>
              </a:ln>
              <a:solidFill>
                <a:sysClr val="windowText" lastClr="000000"/>
              </a:solidFill>
            </a:rPr>
            <a:t>PRODUCTS</a:t>
          </a:r>
        </a:p>
      </xdr:txBody>
    </xdr:sp>
    <xdr:clientData/>
  </xdr:twoCellAnchor>
  <xdr:twoCellAnchor>
    <xdr:from>
      <xdr:col>0</xdr:col>
      <xdr:colOff>290979</xdr:colOff>
      <xdr:row>9</xdr:row>
      <xdr:rowOff>51175</xdr:rowOff>
    </xdr:from>
    <xdr:to>
      <xdr:col>2</xdr:col>
      <xdr:colOff>227479</xdr:colOff>
      <xdr:row>11</xdr:row>
      <xdr:rowOff>25774</xdr:rowOff>
    </xdr:to>
    <xdr:sp macro="" textlink="">
      <xdr:nvSpPr>
        <xdr:cNvPr id="13" name="Rectangle: Rounded Corners 12">
          <a:extLst>
            <a:ext uri="{FF2B5EF4-FFF2-40B4-BE49-F238E27FC236}">
              <a16:creationId xmlns:a16="http://schemas.microsoft.com/office/drawing/2014/main" id="{8A9FEB44-5432-4236-B4E8-6B8BC074E963}"/>
            </a:ext>
          </a:extLst>
        </xdr:cNvPr>
        <xdr:cNvSpPr/>
      </xdr:nvSpPr>
      <xdr:spPr>
        <a:xfrm>
          <a:off x="290979" y="1732057"/>
          <a:ext cx="1161676" cy="348129"/>
        </a:xfrm>
        <a:prstGeom prst="roundRect">
          <a:avLst/>
        </a:prstGeom>
        <a:solidFill>
          <a:schemeClr val="bg1"/>
        </a:solidFill>
        <a:ln>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n>
                <a:solidFill>
                  <a:sysClr val="windowText" lastClr="000000"/>
                </a:solidFill>
              </a:ln>
              <a:solidFill>
                <a:sysClr val="windowText" lastClr="000000"/>
              </a:solidFill>
            </a:rPr>
            <a:t>DASH BOARD </a:t>
          </a:r>
        </a:p>
      </xdr:txBody>
    </xdr:sp>
    <xdr:clientData/>
  </xdr:twoCellAnchor>
  <xdr:twoCellAnchor>
    <xdr:from>
      <xdr:col>0</xdr:col>
      <xdr:colOff>307040</xdr:colOff>
      <xdr:row>14</xdr:row>
      <xdr:rowOff>134097</xdr:rowOff>
    </xdr:from>
    <xdr:to>
      <xdr:col>2</xdr:col>
      <xdr:colOff>243540</xdr:colOff>
      <xdr:row>16</xdr:row>
      <xdr:rowOff>108697</xdr:rowOff>
    </xdr:to>
    <xdr:sp macro="" textlink="">
      <xdr:nvSpPr>
        <xdr:cNvPr id="14" name="Rectangle: Rounded Corners 13">
          <a:extLst>
            <a:ext uri="{FF2B5EF4-FFF2-40B4-BE49-F238E27FC236}">
              <a16:creationId xmlns:a16="http://schemas.microsoft.com/office/drawing/2014/main" id="{F9E84E41-5351-419E-8B49-E697C06FD908}"/>
            </a:ext>
          </a:extLst>
        </xdr:cNvPr>
        <xdr:cNvSpPr/>
      </xdr:nvSpPr>
      <xdr:spPr>
        <a:xfrm>
          <a:off x="307040" y="2748803"/>
          <a:ext cx="1161676" cy="348129"/>
        </a:xfrm>
        <a:prstGeom prst="roundRect">
          <a:avLst/>
        </a:prstGeom>
        <a:solidFill>
          <a:schemeClr val="bg1"/>
        </a:solidFill>
        <a:ln>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n>
                <a:solidFill>
                  <a:sysClr val="windowText" lastClr="000000"/>
                </a:solidFill>
              </a:ln>
              <a:solidFill>
                <a:sysClr val="windowText" lastClr="000000"/>
              </a:solidFill>
            </a:rPr>
            <a:t>SALES MEN</a:t>
          </a:r>
        </a:p>
      </xdr:txBody>
    </xdr:sp>
    <xdr:clientData/>
  </xdr:twoCellAnchor>
  <xdr:twoCellAnchor>
    <xdr:from>
      <xdr:col>0</xdr:col>
      <xdr:colOff>299571</xdr:colOff>
      <xdr:row>17</xdr:row>
      <xdr:rowOff>69476</xdr:rowOff>
    </xdr:from>
    <xdr:to>
      <xdr:col>2</xdr:col>
      <xdr:colOff>236071</xdr:colOff>
      <xdr:row>19</xdr:row>
      <xdr:rowOff>44077</xdr:rowOff>
    </xdr:to>
    <xdr:sp macro="" textlink="">
      <xdr:nvSpPr>
        <xdr:cNvPr id="16" name="Rectangle: Rounded Corners 15">
          <a:extLst>
            <a:ext uri="{FF2B5EF4-FFF2-40B4-BE49-F238E27FC236}">
              <a16:creationId xmlns:a16="http://schemas.microsoft.com/office/drawing/2014/main" id="{1904C88E-8F1C-49E2-B8DF-AA06176F048C}"/>
            </a:ext>
          </a:extLst>
        </xdr:cNvPr>
        <xdr:cNvSpPr/>
      </xdr:nvSpPr>
      <xdr:spPr>
        <a:xfrm>
          <a:off x="299571" y="3244476"/>
          <a:ext cx="1161676" cy="348130"/>
        </a:xfrm>
        <a:prstGeom prst="roundRect">
          <a:avLst/>
        </a:prstGeom>
        <a:solidFill>
          <a:schemeClr val="bg1"/>
        </a:solidFill>
        <a:ln>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n>
                <a:solidFill>
                  <a:sysClr val="windowText" lastClr="000000"/>
                </a:solidFill>
              </a:ln>
              <a:solidFill>
                <a:sysClr val="windowText" lastClr="000000"/>
              </a:solidFill>
            </a:rPr>
            <a:t>ABOUT</a:t>
          </a:r>
        </a:p>
      </xdr:txBody>
    </xdr:sp>
    <xdr:clientData/>
  </xdr:twoCellAnchor>
  <xdr:twoCellAnchor>
    <xdr:from>
      <xdr:col>10</xdr:col>
      <xdr:colOff>603249</xdr:colOff>
      <xdr:row>20</xdr:row>
      <xdr:rowOff>28575</xdr:rowOff>
    </xdr:from>
    <xdr:to>
      <xdr:col>18</xdr:col>
      <xdr:colOff>269874</xdr:colOff>
      <xdr:row>27</xdr:row>
      <xdr:rowOff>103187</xdr:rowOff>
    </xdr:to>
    <xdr:sp macro="" textlink="">
      <xdr:nvSpPr>
        <xdr:cNvPr id="19" name="Rectangle 18">
          <a:extLst>
            <a:ext uri="{FF2B5EF4-FFF2-40B4-BE49-F238E27FC236}">
              <a16:creationId xmlns:a16="http://schemas.microsoft.com/office/drawing/2014/main" id="{EFD0FDA7-44F8-4474-B036-54F818444AA3}"/>
            </a:ext>
          </a:extLst>
        </xdr:cNvPr>
        <xdr:cNvSpPr/>
      </xdr:nvSpPr>
      <xdr:spPr>
        <a:xfrm>
          <a:off x="6715124" y="3679825"/>
          <a:ext cx="4556125" cy="1352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effectLst>
                <a:outerShdw blurRad="38100" dist="19050" dir="2700000" algn="tl" rotWithShape="0">
                  <a:schemeClr val="dk1">
                    <a:alpha val="40000"/>
                  </a:schemeClr>
                </a:outerShdw>
              </a:effectLst>
              <a:latin typeface="+mn-lt"/>
              <a:ea typeface="+mn-ea"/>
              <a:cs typeface="+mn-cs"/>
            </a:rPr>
            <a:t>SALES</a:t>
          </a:r>
          <a:r>
            <a:rPr lang="en-IN" sz="1100" b="1" baseline="0">
              <a:solidFill>
                <a:schemeClr val="tx1"/>
              </a:solidFill>
              <a:effectLst>
                <a:outerShdw blurRad="38100" dist="19050" dir="2700000" algn="tl" rotWithShape="0">
                  <a:schemeClr val="dk1">
                    <a:alpha val="40000"/>
                  </a:schemeClr>
                </a:outerShdw>
              </a:effectLst>
              <a:latin typeface="+mn-lt"/>
              <a:ea typeface="+mn-ea"/>
              <a:cs typeface="+mn-cs"/>
            </a:rPr>
            <a:t> BY PLACES</a:t>
          </a:r>
          <a:endParaRPr lang="en-IN" sz="1100" b="1">
            <a:solidFill>
              <a:schemeClr val="tx1"/>
            </a:solidFill>
          </a:endParaRPr>
        </a:p>
      </xdr:txBody>
    </xdr:sp>
    <xdr:clientData/>
  </xdr:twoCellAnchor>
  <xdr:twoCellAnchor>
    <xdr:from>
      <xdr:col>3</xdr:col>
      <xdr:colOff>164353</xdr:colOff>
      <xdr:row>16</xdr:row>
      <xdr:rowOff>22418</xdr:rowOff>
    </xdr:from>
    <xdr:to>
      <xdr:col>6</xdr:col>
      <xdr:colOff>186762</xdr:colOff>
      <xdr:row>19</xdr:row>
      <xdr:rowOff>0</xdr:rowOff>
    </xdr:to>
    <xdr:sp macro="" textlink="">
      <xdr:nvSpPr>
        <xdr:cNvPr id="20" name="Rectangle: Rounded Corners 19">
          <a:extLst>
            <a:ext uri="{FF2B5EF4-FFF2-40B4-BE49-F238E27FC236}">
              <a16:creationId xmlns:a16="http://schemas.microsoft.com/office/drawing/2014/main" id="{DD48D4DB-02C9-8673-C195-A928E9756B2B}"/>
            </a:ext>
          </a:extLst>
        </xdr:cNvPr>
        <xdr:cNvSpPr/>
      </xdr:nvSpPr>
      <xdr:spPr>
        <a:xfrm>
          <a:off x="2002118" y="3010653"/>
          <a:ext cx="1860173" cy="537876"/>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600824</xdr:colOff>
      <xdr:row>16</xdr:row>
      <xdr:rowOff>8598</xdr:rowOff>
    </xdr:from>
    <xdr:to>
      <xdr:col>10</xdr:col>
      <xdr:colOff>67237</xdr:colOff>
      <xdr:row>19</xdr:row>
      <xdr:rowOff>22412</xdr:rowOff>
    </xdr:to>
    <xdr:sp macro="" textlink="">
      <xdr:nvSpPr>
        <xdr:cNvPr id="21" name="Rectangle: Rounded Corners 20">
          <a:extLst>
            <a:ext uri="{FF2B5EF4-FFF2-40B4-BE49-F238E27FC236}">
              <a16:creationId xmlns:a16="http://schemas.microsoft.com/office/drawing/2014/main" id="{CAADB7C6-2F6D-45C1-A5B8-F866C7219F5D}"/>
            </a:ext>
          </a:extLst>
        </xdr:cNvPr>
        <xdr:cNvSpPr/>
      </xdr:nvSpPr>
      <xdr:spPr>
        <a:xfrm>
          <a:off x="4276353" y="2996833"/>
          <a:ext cx="1916766" cy="574108"/>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298826</xdr:colOff>
      <xdr:row>15</xdr:row>
      <xdr:rowOff>186381</xdr:rowOff>
    </xdr:from>
    <xdr:to>
      <xdr:col>10</xdr:col>
      <xdr:colOff>68919</xdr:colOff>
      <xdr:row>19</xdr:row>
      <xdr:rowOff>29882</xdr:rowOff>
    </xdr:to>
    <xdr:sp macro="" textlink="">
      <xdr:nvSpPr>
        <xdr:cNvPr id="23" name="Rectangle: Rounded Corners 22">
          <a:extLst>
            <a:ext uri="{FF2B5EF4-FFF2-40B4-BE49-F238E27FC236}">
              <a16:creationId xmlns:a16="http://schemas.microsoft.com/office/drawing/2014/main" id="{512075F0-A080-442A-BEE8-0D2C546AF958}"/>
            </a:ext>
          </a:extLst>
        </xdr:cNvPr>
        <xdr:cNvSpPr/>
      </xdr:nvSpPr>
      <xdr:spPr>
        <a:xfrm>
          <a:off x="4586944" y="2987852"/>
          <a:ext cx="1607857" cy="59055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cap="none" spc="0">
              <a:ln w="0"/>
              <a:solidFill>
                <a:schemeClr val="tx1"/>
              </a:solidFill>
              <a:effectLst>
                <a:outerShdw blurRad="38100" dist="19050" dir="2700000" algn="tl" rotWithShape="0">
                  <a:schemeClr val="dk1">
                    <a:alpha val="40000"/>
                  </a:schemeClr>
                </a:outerShdw>
              </a:effectLst>
              <a:latin typeface="+mn-lt"/>
              <a:ea typeface="+mn-ea"/>
              <a:cs typeface="+mn-cs"/>
            </a:rPr>
            <a:t>TOTAL</a:t>
          </a:r>
          <a:r>
            <a:rPr lang="en-IN" sz="1100" b="1" cap="none" spc="0" baseline="0">
              <a:ln w="0"/>
              <a:solidFill>
                <a:schemeClr val="tx1"/>
              </a:solidFill>
              <a:effectLst>
                <a:outerShdw blurRad="38100" dist="19050" dir="2700000" algn="tl" rotWithShape="0">
                  <a:schemeClr val="dk1">
                    <a:alpha val="40000"/>
                  </a:schemeClr>
                </a:outerShdw>
              </a:effectLst>
              <a:latin typeface="+mn-lt"/>
              <a:ea typeface="+mn-ea"/>
              <a:cs typeface="+mn-cs"/>
            </a:rPr>
            <a:t> SALES</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126999</xdr:colOff>
      <xdr:row>12</xdr:row>
      <xdr:rowOff>119528</xdr:rowOff>
    </xdr:from>
    <xdr:to>
      <xdr:col>7</xdr:col>
      <xdr:colOff>216647</xdr:colOff>
      <xdr:row>15</xdr:row>
      <xdr:rowOff>82174</xdr:rowOff>
    </xdr:to>
    <xdr:sp macro="" textlink="">
      <xdr:nvSpPr>
        <xdr:cNvPr id="25" name="Rectangle 24">
          <a:extLst>
            <a:ext uri="{FF2B5EF4-FFF2-40B4-BE49-F238E27FC236}">
              <a16:creationId xmlns:a16="http://schemas.microsoft.com/office/drawing/2014/main" id="{B6EBD61A-6A6D-075D-582F-F987E79AF425}"/>
            </a:ext>
          </a:extLst>
        </xdr:cNvPr>
        <xdr:cNvSpPr/>
      </xdr:nvSpPr>
      <xdr:spPr>
        <a:xfrm>
          <a:off x="2577352" y="2360704"/>
          <a:ext cx="1927413" cy="52294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0"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editAs="oneCell">
    <xdr:from>
      <xdr:col>3</xdr:col>
      <xdr:colOff>82176</xdr:colOff>
      <xdr:row>12</xdr:row>
      <xdr:rowOff>119530</xdr:rowOff>
    </xdr:from>
    <xdr:to>
      <xdr:col>4</xdr:col>
      <xdr:colOff>164352</xdr:colOff>
      <xdr:row>15</xdr:row>
      <xdr:rowOff>152399</xdr:rowOff>
    </xdr:to>
    <xdr:pic>
      <xdr:nvPicPr>
        <xdr:cNvPr id="27" name="Graphic 26" descr="Bar chart with solid fill">
          <a:extLst>
            <a:ext uri="{FF2B5EF4-FFF2-40B4-BE49-F238E27FC236}">
              <a16:creationId xmlns:a16="http://schemas.microsoft.com/office/drawing/2014/main" id="{DF40FCDA-C860-1059-4664-0FD6B3DFCA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941" y="2360706"/>
          <a:ext cx="694764" cy="593164"/>
        </a:xfrm>
        <a:prstGeom prst="rect">
          <a:avLst/>
        </a:prstGeom>
      </xdr:spPr>
    </xdr:pic>
    <xdr:clientData/>
  </xdr:twoCellAnchor>
  <xdr:twoCellAnchor>
    <xdr:from>
      <xdr:col>3</xdr:col>
      <xdr:colOff>448232</xdr:colOff>
      <xdr:row>16</xdr:row>
      <xdr:rowOff>22418</xdr:rowOff>
    </xdr:from>
    <xdr:to>
      <xdr:col>6</xdr:col>
      <xdr:colOff>218325</xdr:colOff>
      <xdr:row>19</xdr:row>
      <xdr:rowOff>0</xdr:rowOff>
    </xdr:to>
    <xdr:sp macro="" textlink="">
      <xdr:nvSpPr>
        <xdr:cNvPr id="28" name="Rectangle: Rounded Corners 27">
          <a:extLst>
            <a:ext uri="{FF2B5EF4-FFF2-40B4-BE49-F238E27FC236}">
              <a16:creationId xmlns:a16="http://schemas.microsoft.com/office/drawing/2014/main" id="{FB17FDE0-6458-48C2-8EDD-45A973896C45}"/>
            </a:ext>
          </a:extLst>
        </xdr:cNvPr>
        <xdr:cNvSpPr/>
      </xdr:nvSpPr>
      <xdr:spPr>
        <a:xfrm>
          <a:off x="2285997" y="3010653"/>
          <a:ext cx="1607857" cy="5378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cap="none" spc="0">
              <a:ln w="0"/>
              <a:solidFill>
                <a:schemeClr val="tx1"/>
              </a:solidFill>
              <a:effectLst>
                <a:outerShdw blurRad="38100" dist="19050" dir="2700000" algn="tl" rotWithShape="0">
                  <a:schemeClr val="dk1">
                    <a:alpha val="40000"/>
                  </a:schemeClr>
                </a:outerShdw>
              </a:effectLst>
            </a:rPr>
            <a:t>             TOTAL AMOUNT</a:t>
          </a:r>
        </a:p>
      </xdr:txBody>
    </xdr:sp>
    <xdr:clientData/>
  </xdr:twoCellAnchor>
  <xdr:twoCellAnchor editAs="oneCell">
    <xdr:from>
      <xdr:col>7</xdr:col>
      <xdr:colOff>313764</xdr:colOff>
      <xdr:row>16</xdr:row>
      <xdr:rowOff>7472</xdr:rowOff>
    </xdr:from>
    <xdr:to>
      <xdr:col>8</xdr:col>
      <xdr:colOff>144929</xdr:colOff>
      <xdr:row>19</xdr:row>
      <xdr:rowOff>0</xdr:rowOff>
    </xdr:to>
    <xdr:pic>
      <xdr:nvPicPr>
        <xdr:cNvPr id="30" name="Graphic 29" descr="Business Growth with solid fill">
          <a:extLst>
            <a:ext uri="{FF2B5EF4-FFF2-40B4-BE49-F238E27FC236}">
              <a16:creationId xmlns:a16="http://schemas.microsoft.com/office/drawing/2014/main" id="{401F2EBD-7821-5E37-0DB1-38B8DE2A1E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01882" y="2995707"/>
          <a:ext cx="443753" cy="552822"/>
        </a:xfrm>
        <a:prstGeom prst="rect">
          <a:avLst/>
        </a:prstGeom>
      </xdr:spPr>
    </xdr:pic>
    <xdr:clientData/>
  </xdr:twoCellAnchor>
  <xdr:twoCellAnchor editAs="oneCell">
    <xdr:from>
      <xdr:col>3</xdr:col>
      <xdr:colOff>410882</xdr:colOff>
      <xdr:row>16</xdr:row>
      <xdr:rowOff>44824</xdr:rowOff>
    </xdr:from>
    <xdr:to>
      <xdr:col>4</xdr:col>
      <xdr:colOff>276412</xdr:colOff>
      <xdr:row>18</xdr:row>
      <xdr:rowOff>164354</xdr:rowOff>
    </xdr:to>
    <xdr:pic>
      <xdr:nvPicPr>
        <xdr:cNvPr id="32" name="Graphic 31" descr="Dollar with solid fill">
          <a:extLst>
            <a:ext uri="{FF2B5EF4-FFF2-40B4-BE49-F238E27FC236}">
              <a16:creationId xmlns:a16="http://schemas.microsoft.com/office/drawing/2014/main" id="{C072C2A5-C070-E62A-88B5-AE2AD3615E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48647" y="3033059"/>
          <a:ext cx="478118" cy="493060"/>
        </a:xfrm>
        <a:prstGeom prst="rect">
          <a:avLst/>
        </a:prstGeom>
      </xdr:spPr>
    </xdr:pic>
    <xdr:clientData/>
  </xdr:twoCellAnchor>
  <xdr:twoCellAnchor>
    <xdr:from>
      <xdr:col>3</xdr:col>
      <xdr:colOff>67236</xdr:colOff>
      <xdr:row>19</xdr:row>
      <xdr:rowOff>89648</xdr:rowOff>
    </xdr:from>
    <xdr:to>
      <xdr:col>10</xdr:col>
      <xdr:colOff>512577</xdr:colOff>
      <xdr:row>27</xdr:row>
      <xdr:rowOff>115046</xdr:rowOff>
    </xdr:to>
    <xdr:sp macro="" textlink="">
      <xdr:nvSpPr>
        <xdr:cNvPr id="33" name="Rectangle 32">
          <a:extLst>
            <a:ext uri="{FF2B5EF4-FFF2-40B4-BE49-F238E27FC236}">
              <a16:creationId xmlns:a16="http://schemas.microsoft.com/office/drawing/2014/main" id="{AE794978-6A4C-49D1-A589-6DD1D46C269D}"/>
            </a:ext>
          </a:extLst>
        </xdr:cNvPr>
        <xdr:cNvSpPr/>
      </xdr:nvSpPr>
      <xdr:spPr>
        <a:xfrm>
          <a:off x="1905001" y="3638177"/>
          <a:ext cx="4733458" cy="151951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PRODUTS</a:t>
          </a:r>
        </a:p>
      </xdr:txBody>
    </xdr:sp>
    <xdr:clientData/>
  </xdr:twoCellAnchor>
  <xdr:twoCellAnchor>
    <xdr:from>
      <xdr:col>11</xdr:col>
      <xdr:colOff>52294</xdr:colOff>
      <xdr:row>13</xdr:row>
      <xdr:rowOff>127000</xdr:rowOff>
    </xdr:from>
    <xdr:to>
      <xdr:col>16</xdr:col>
      <xdr:colOff>420501</xdr:colOff>
      <xdr:row>19</xdr:row>
      <xdr:rowOff>82177</xdr:rowOff>
    </xdr:to>
    <xdr:graphicFrame macro="">
      <xdr:nvGraphicFramePr>
        <xdr:cNvPr id="34" name="Chart 33">
          <a:extLst>
            <a:ext uri="{FF2B5EF4-FFF2-40B4-BE49-F238E27FC236}">
              <a16:creationId xmlns:a16="http://schemas.microsoft.com/office/drawing/2014/main" id="{5C0E13E0-4F4A-4EB2-A8FE-757CA1D1D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580371</xdr:colOff>
      <xdr:row>14</xdr:row>
      <xdr:rowOff>29882</xdr:rowOff>
    </xdr:from>
    <xdr:to>
      <xdr:col>18</xdr:col>
      <xdr:colOff>268941</xdr:colOff>
      <xdr:row>19</xdr:row>
      <xdr:rowOff>134469</xdr:rowOff>
    </xdr:to>
    <xdr:graphicFrame macro="">
      <xdr:nvGraphicFramePr>
        <xdr:cNvPr id="35" name="Chart 34">
          <a:extLst>
            <a:ext uri="{FF2B5EF4-FFF2-40B4-BE49-F238E27FC236}">
              <a16:creationId xmlns:a16="http://schemas.microsoft.com/office/drawing/2014/main" id="{3EC55A00-C532-4E9B-A30B-01394CBA6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579438</xdr:colOff>
      <xdr:row>12</xdr:row>
      <xdr:rowOff>111126</xdr:rowOff>
    </xdr:from>
    <xdr:to>
      <xdr:col>18</xdr:col>
      <xdr:colOff>301625</xdr:colOff>
      <xdr:row>19</xdr:row>
      <xdr:rowOff>142876</xdr:rowOff>
    </xdr:to>
    <xdr:sp macro="" textlink="">
      <xdr:nvSpPr>
        <xdr:cNvPr id="17" name="Rectangle 16">
          <a:extLst>
            <a:ext uri="{FF2B5EF4-FFF2-40B4-BE49-F238E27FC236}">
              <a16:creationId xmlns:a16="http://schemas.microsoft.com/office/drawing/2014/main" id="{3AA7CDF0-7DF1-0C1B-DB04-1FBEB23EC38A}"/>
            </a:ext>
          </a:extLst>
        </xdr:cNvPr>
        <xdr:cNvSpPr/>
      </xdr:nvSpPr>
      <xdr:spPr>
        <a:xfrm>
          <a:off x="6691313" y="2301876"/>
          <a:ext cx="4611687" cy="130968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MONTHS</a:t>
          </a:r>
        </a:p>
      </xdr:txBody>
    </xdr:sp>
    <xdr:clientData/>
  </xdr:twoCellAnchor>
  <xdr:twoCellAnchor>
    <xdr:from>
      <xdr:col>3</xdr:col>
      <xdr:colOff>67236</xdr:colOff>
      <xdr:row>20</xdr:row>
      <xdr:rowOff>127000</xdr:rowOff>
    </xdr:from>
    <xdr:to>
      <xdr:col>10</xdr:col>
      <xdr:colOff>478118</xdr:colOff>
      <xdr:row>27</xdr:row>
      <xdr:rowOff>82177</xdr:rowOff>
    </xdr:to>
    <xdr:graphicFrame macro="">
      <xdr:nvGraphicFramePr>
        <xdr:cNvPr id="38" name="Chart 37">
          <a:extLst>
            <a:ext uri="{FF2B5EF4-FFF2-40B4-BE49-F238E27FC236}">
              <a16:creationId xmlns:a16="http://schemas.microsoft.com/office/drawing/2014/main" id="{CAFD23E6-2172-458C-B7B9-C509EE262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7470</xdr:colOff>
      <xdr:row>13</xdr:row>
      <xdr:rowOff>112059</xdr:rowOff>
    </xdr:from>
    <xdr:to>
      <xdr:col>18</xdr:col>
      <xdr:colOff>291353</xdr:colOff>
      <xdr:row>19</xdr:row>
      <xdr:rowOff>112247</xdr:rowOff>
    </xdr:to>
    <xdr:graphicFrame macro="[0]!Chart38_Click">
      <xdr:nvGraphicFramePr>
        <xdr:cNvPr id="39" name="Chart 38">
          <a:extLst>
            <a:ext uri="{FF2B5EF4-FFF2-40B4-BE49-F238E27FC236}">
              <a16:creationId xmlns:a16="http://schemas.microsoft.com/office/drawing/2014/main" id="{D1E6DC22-915A-4122-9BA1-997CCBA3E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7470</xdr:colOff>
      <xdr:row>21</xdr:row>
      <xdr:rowOff>71530</xdr:rowOff>
    </xdr:from>
    <xdr:to>
      <xdr:col>18</xdr:col>
      <xdr:colOff>239059</xdr:colOff>
      <xdr:row>27</xdr:row>
      <xdr:rowOff>89647</xdr:rowOff>
    </xdr:to>
    <xdr:graphicFrame macro="">
      <xdr:nvGraphicFramePr>
        <xdr:cNvPr id="40" name="Chart 39">
          <a:extLst>
            <a:ext uri="{FF2B5EF4-FFF2-40B4-BE49-F238E27FC236}">
              <a16:creationId xmlns:a16="http://schemas.microsoft.com/office/drawing/2014/main" id="{A3D5C212-78A2-47C8-9F69-EACBF1F8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366058</xdr:colOff>
      <xdr:row>17</xdr:row>
      <xdr:rowOff>44822</xdr:rowOff>
    </xdr:from>
    <xdr:to>
      <xdr:col>6</xdr:col>
      <xdr:colOff>201705</xdr:colOff>
      <xdr:row>18</xdr:row>
      <xdr:rowOff>104588</xdr:rowOff>
    </xdr:to>
    <xdr:sp macro="" textlink="'pivot tables'!B173">
      <xdr:nvSpPr>
        <xdr:cNvPr id="41" name="Rectangle: Rounded Corners 40">
          <a:extLst>
            <a:ext uri="{FF2B5EF4-FFF2-40B4-BE49-F238E27FC236}">
              <a16:creationId xmlns:a16="http://schemas.microsoft.com/office/drawing/2014/main" id="{E1BE394E-2393-6F6F-C657-88C88631EDBE}"/>
            </a:ext>
          </a:extLst>
        </xdr:cNvPr>
        <xdr:cNvSpPr/>
      </xdr:nvSpPr>
      <xdr:spPr>
        <a:xfrm>
          <a:off x="2816411" y="3219822"/>
          <a:ext cx="1060823" cy="246531"/>
        </a:xfrm>
        <a:prstGeom prst="roundRect">
          <a:avLst>
            <a:gd name="adj" fmla="val 50000"/>
          </a:avLst>
        </a:prstGeom>
        <a:solidFill>
          <a:sysClr val="window" lastClr="FFFFFF"/>
        </a:solidFill>
        <a:ln>
          <a:no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fld id="{18EB99ED-A014-4A59-9313-06E62DEF54CA}" type="TxLink">
            <a:rPr lang="en-US" sz="1200" b="1" i="0" u="none" strike="noStrike">
              <a:solidFill>
                <a:srgbClr val="000000"/>
              </a:solidFill>
              <a:latin typeface="Calibri"/>
              <a:ea typeface="Calibri"/>
              <a:cs typeface="Calibri"/>
            </a:rPr>
            <a:pPr algn="l"/>
            <a:t>131113353</a:t>
          </a:fld>
          <a:endParaRPr lang="en-IN" sz="1200" b="1"/>
        </a:p>
      </xdr:txBody>
    </xdr:sp>
    <xdr:clientData/>
  </xdr:twoCellAnchor>
  <xdr:twoCellAnchor>
    <xdr:from>
      <xdr:col>8</xdr:col>
      <xdr:colOff>171826</xdr:colOff>
      <xdr:row>17</xdr:row>
      <xdr:rowOff>66852</xdr:rowOff>
    </xdr:from>
    <xdr:to>
      <xdr:col>10</xdr:col>
      <xdr:colOff>7473</xdr:colOff>
      <xdr:row>18</xdr:row>
      <xdr:rowOff>126618</xdr:rowOff>
    </xdr:to>
    <xdr:sp macro="" textlink="'pivot tables'!B181">
      <xdr:nvSpPr>
        <xdr:cNvPr id="44" name="Rectangle: Rounded Corners 43">
          <a:extLst>
            <a:ext uri="{FF2B5EF4-FFF2-40B4-BE49-F238E27FC236}">
              <a16:creationId xmlns:a16="http://schemas.microsoft.com/office/drawing/2014/main" id="{5A30DE7E-12A0-4202-BFA5-4691048DCEF7}"/>
            </a:ext>
          </a:extLst>
        </xdr:cNvPr>
        <xdr:cNvSpPr/>
      </xdr:nvSpPr>
      <xdr:spPr>
        <a:xfrm>
          <a:off x="5072532" y="3241852"/>
          <a:ext cx="1060823" cy="246531"/>
        </a:xfrm>
        <a:prstGeom prst="roundRect">
          <a:avLst>
            <a:gd name="adj" fmla="val 50000"/>
          </a:avLst>
        </a:prstGeom>
        <a:solidFill>
          <a:sysClr val="window" lastClr="FFFFFF"/>
        </a:solidFill>
        <a:ln>
          <a:no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fld id="{5A093D7F-7D51-4F4C-8AA9-E9A6D382C4EA}"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312</a:t>
          </a:fld>
          <a:endParaRPr lang="en-IN"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119529</xdr:colOff>
      <xdr:row>8</xdr:row>
      <xdr:rowOff>135585</xdr:rowOff>
    </xdr:from>
    <xdr:to>
      <xdr:col>18</xdr:col>
      <xdr:colOff>321236</xdr:colOff>
      <xdr:row>12</xdr:row>
      <xdr:rowOff>48926</xdr:rowOff>
    </xdr:to>
    <mc:AlternateContent xmlns:mc="http://schemas.openxmlformats.org/markup-compatibility/2006" xmlns:a14="http://schemas.microsoft.com/office/drawing/2010/main">
      <mc:Choice Requires="a14">
        <xdr:graphicFrame macro="[0]!Products3_Click">
          <xdr:nvGraphicFramePr>
            <xdr:cNvPr id="45" name="Products 3">
              <a:extLst>
                <a:ext uri="{FF2B5EF4-FFF2-40B4-BE49-F238E27FC236}">
                  <a16:creationId xmlns:a16="http://schemas.microsoft.com/office/drawing/2014/main" id="{BC0A9355-7519-49FB-85E0-33807EA10A2B}"/>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1957294" y="1629703"/>
              <a:ext cx="9390530" cy="660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89646</xdr:colOff>
      <xdr:row>1</xdr:row>
      <xdr:rowOff>67235</xdr:rowOff>
    </xdr:from>
    <xdr:to>
      <xdr:col>12</xdr:col>
      <xdr:colOff>184897</xdr:colOff>
      <xdr:row>8</xdr:row>
      <xdr:rowOff>59764</xdr:rowOff>
    </xdr:to>
    <mc:AlternateContent xmlns:mc="http://schemas.openxmlformats.org/markup-compatibility/2006" xmlns:tsle="http://schemas.microsoft.com/office/drawing/2012/timeslicer">
      <mc:Choice Requires="tsle">
        <xdr:graphicFrame macro="">
          <xdr:nvGraphicFramePr>
            <xdr:cNvPr id="46" name="Date 2">
              <a:extLst>
                <a:ext uri="{FF2B5EF4-FFF2-40B4-BE49-F238E27FC236}">
                  <a16:creationId xmlns:a16="http://schemas.microsoft.com/office/drawing/2014/main" id="{6BD1A315-B31D-4C1F-BEC1-CF0DB99B011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27411" y="254000"/>
              <a:ext cx="5608545" cy="12998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319742</xdr:colOff>
      <xdr:row>1</xdr:row>
      <xdr:rowOff>150530</xdr:rowOff>
    </xdr:from>
    <xdr:to>
      <xdr:col>18</xdr:col>
      <xdr:colOff>92263</xdr:colOff>
      <xdr:row>8</xdr:row>
      <xdr:rowOff>24276</xdr:rowOff>
    </xdr:to>
    <mc:AlternateContent xmlns:mc="http://schemas.openxmlformats.org/markup-compatibility/2006" xmlns:a14="http://schemas.microsoft.com/office/drawing/2010/main">
      <mc:Choice Requires="a14">
        <xdr:graphicFrame macro="">
          <xdr:nvGraphicFramePr>
            <xdr:cNvPr id="48" name="Place 2">
              <a:extLst>
                <a:ext uri="{FF2B5EF4-FFF2-40B4-BE49-F238E27FC236}">
                  <a16:creationId xmlns:a16="http://schemas.microsoft.com/office/drawing/2014/main" id="{E7078C88-B35E-45FB-9B57-2473FA357C0A}"/>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670801" y="337295"/>
              <a:ext cx="344805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160760</xdr:colOff>
      <xdr:row>2</xdr:row>
      <xdr:rowOff>144684</xdr:rowOff>
    </xdr:from>
    <xdr:to>
      <xdr:col>2</xdr:col>
      <xdr:colOff>474241</xdr:colOff>
      <xdr:row>8</xdr:row>
      <xdr:rowOff>120570</xdr:rowOff>
    </xdr:to>
    <xdr:sp macro="" textlink="">
      <xdr:nvSpPr>
        <xdr:cNvPr id="2" name="Rectangle 1">
          <a:extLst>
            <a:ext uri="{FF2B5EF4-FFF2-40B4-BE49-F238E27FC236}">
              <a16:creationId xmlns:a16="http://schemas.microsoft.com/office/drawing/2014/main" id="{35D6395C-298D-FEE8-69A3-F0E0ED1F00AD}"/>
            </a:ext>
          </a:extLst>
        </xdr:cNvPr>
        <xdr:cNvSpPr/>
      </xdr:nvSpPr>
      <xdr:spPr>
        <a:xfrm>
          <a:off x="160760" y="514431"/>
          <a:ext cx="1535253" cy="1085126"/>
        </a:xfrm>
        <a:prstGeom prst="rect">
          <a:avLst/>
        </a:prstGeom>
        <a:solidFill>
          <a:schemeClr val="bg1"/>
        </a:solidFill>
        <a:ln>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1800">
              <a:ln>
                <a:solidFill>
                  <a:sysClr val="windowText" lastClr="000000"/>
                </a:solidFill>
              </a:ln>
              <a:solidFill>
                <a:sysClr val="windowText" lastClr="000000"/>
              </a:solidFill>
              <a:latin typeface="+mn-lt"/>
              <a:ea typeface="+mn-ea"/>
              <a:cs typeface="+mn-cs"/>
            </a:rPr>
            <a:t>Employee Performance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alyan Reddy" refreshedDate="45962.662382523151" createdVersion="8" refreshedVersion="8" minRefreshableVersion="3" recordCount="312" xr:uid="{C45C8CE7-FC76-44B9-BC53-65543FBB1F24}">
  <cacheSource type="worksheet">
    <worksheetSource ref="A1:G313" sheet="master data"/>
  </cacheSource>
  <cacheFields count="10">
    <cacheField name="Date" numFmtId="14">
      <sharedItems containsSemiMixedTypes="0" containsNonDate="0" containsDate="1" containsString="0" minDate="2023-01-01T00:00:00" maxDate="2025-07-23T00:00:00" count="312">
        <d v="2023-01-01T00:00:00"/>
        <d v="2023-01-04T00:00:00"/>
        <d v="2023-01-07T00:00:00"/>
        <d v="2023-01-10T00:00:00"/>
        <d v="2023-01-13T00:00:00"/>
        <d v="2023-01-16T00:00:00"/>
        <d v="2023-01-19T00:00:00"/>
        <d v="2023-01-22T00:00:00"/>
        <d v="2023-01-25T00:00:00"/>
        <d v="2023-01-28T00:00:00"/>
        <d v="2023-01-31T00:00:00"/>
        <d v="2023-02-03T00:00:00"/>
        <d v="2023-02-06T00:00:00"/>
        <d v="2023-02-09T00:00:00"/>
        <d v="2023-02-12T00:00:00"/>
        <d v="2023-02-15T00:00:00"/>
        <d v="2023-02-18T00:00:00"/>
        <d v="2023-02-21T00:00:00"/>
        <d v="2023-02-24T00:00:00"/>
        <d v="2023-02-27T00:00:00"/>
        <d v="2023-03-02T00:00:00"/>
        <d v="2023-03-05T00:00:00"/>
        <d v="2023-03-08T00:00:00"/>
        <d v="2023-03-11T00:00:00"/>
        <d v="2023-03-14T00:00:00"/>
        <d v="2023-03-17T00:00:00"/>
        <d v="2023-03-20T00:00:00"/>
        <d v="2023-03-23T00:00:00"/>
        <d v="2023-03-26T00:00:00"/>
        <d v="2023-03-29T00:00:00"/>
        <d v="2023-04-01T00:00:00"/>
        <d v="2023-04-04T00:00:00"/>
        <d v="2023-04-07T00:00:00"/>
        <d v="2023-04-10T00:00:00"/>
        <d v="2023-04-13T00:00:00"/>
        <d v="2023-04-16T00:00:00"/>
        <d v="2023-04-19T00:00:00"/>
        <d v="2023-04-22T00:00:00"/>
        <d v="2023-04-25T00:00:00"/>
        <d v="2023-04-28T00:00:00"/>
        <d v="2023-05-01T00:00:00"/>
        <d v="2023-05-04T00:00:00"/>
        <d v="2023-05-07T00:00:00"/>
        <d v="2023-05-10T00:00:00"/>
        <d v="2023-05-13T00:00:00"/>
        <d v="2023-05-16T00:00:00"/>
        <d v="2023-05-19T00:00:00"/>
        <d v="2023-05-22T00:00:00"/>
        <d v="2023-05-25T00:00:00"/>
        <d v="2023-05-28T00:00:00"/>
        <d v="2023-05-31T00:00:00"/>
        <d v="2023-06-03T00:00:00"/>
        <d v="2023-06-06T00:00:00"/>
        <d v="2023-06-09T00:00:00"/>
        <d v="2023-06-12T00:00:00"/>
        <d v="2023-06-15T00:00:00"/>
        <d v="2023-06-18T00:00:00"/>
        <d v="2023-06-21T00:00:00"/>
        <d v="2023-06-24T00:00:00"/>
        <d v="2023-06-27T00:00:00"/>
        <d v="2023-06-30T00:00:00"/>
        <d v="2023-07-03T00:00:00"/>
        <d v="2023-07-06T00:00:00"/>
        <d v="2023-07-09T00:00:00"/>
        <d v="2023-07-12T00:00:00"/>
        <d v="2023-07-15T00:00:00"/>
        <d v="2023-07-18T00:00:00"/>
        <d v="2023-07-21T00:00:00"/>
        <d v="2023-07-24T00:00:00"/>
        <d v="2023-07-27T00:00:00"/>
        <d v="2023-07-30T00:00:00"/>
        <d v="2023-08-02T00:00:00"/>
        <d v="2023-08-05T00:00:00"/>
        <d v="2023-08-08T00:00:00"/>
        <d v="2023-08-11T00:00:00"/>
        <d v="2023-08-14T00:00:00"/>
        <d v="2023-08-17T00:00:00"/>
        <d v="2023-08-20T00:00:00"/>
        <d v="2023-08-23T00:00:00"/>
        <d v="2023-08-26T00:00:00"/>
        <d v="2023-08-29T00:00:00"/>
        <d v="2023-09-01T00:00:00"/>
        <d v="2023-09-04T00:00:00"/>
        <d v="2023-09-07T00:00:00"/>
        <d v="2023-09-10T00:00:00"/>
        <d v="2023-09-13T00:00:00"/>
        <d v="2023-09-16T00:00:00"/>
        <d v="2023-09-19T00:00:00"/>
        <d v="2023-09-22T00:00:00"/>
        <d v="2023-09-25T00:00:00"/>
        <d v="2023-09-28T00:00:00"/>
        <d v="2023-10-01T00:00:00"/>
        <d v="2023-10-04T00:00:00"/>
        <d v="2023-10-07T00:00:00"/>
        <d v="2023-10-10T00:00:00"/>
        <d v="2023-10-13T00:00:00"/>
        <d v="2023-10-16T00:00:00"/>
        <d v="2023-10-19T00:00:00"/>
        <d v="2023-10-22T00:00:00"/>
        <d v="2023-10-25T00:00:00"/>
        <d v="2023-10-28T00:00:00"/>
        <d v="2023-10-31T00:00:00"/>
        <d v="2023-11-03T00:00:00"/>
        <d v="2023-11-06T00:00:00"/>
        <d v="2023-11-09T00:00:00"/>
        <d v="2023-11-12T00:00:00"/>
        <d v="2023-11-15T00:00:00"/>
        <d v="2023-11-18T00:00:00"/>
        <d v="2023-11-21T00:00:00"/>
        <d v="2023-11-24T00:00:00"/>
        <d v="2023-11-27T00:00:00"/>
        <d v="2023-11-30T00:00:00"/>
        <d v="2023-12-03T00:00:00"/>
        <d v="2023-12-06T00:00:00"/>
        <d v="2023-12-09T00:00:00"/>
        <d v="2023-12-12T00:00:00"/>
        <d v="2023-12-15T00:00:00"/>
        <d v="2023-12-18T00:00:00"/>
        <d v="2023-12-21T00:00:00"/>
        <d v="2023-12-24T00:00:00"/>
        <d v="2023-12-27T00:00:00"/>
        <d v="2023-12-30T00:00:00"/>
        <d v="2024-01-02T00:00:00"/>
        <d v="2024-01-05T00:00:00"/>
        <d v="2024-01-08T00:00:00"/>
        <d v="2024-01-11T00:00:00"/>
        <d v="2024-01-14T00:00:00"/>
        <d v="2024-01-17T00:00:00"/>
        <d v="2024-01-20T00:00:00"/>
        <d v="2024-01-23T00:00:00"/>
        <d v="2024-01-26T00:00:00"/>
        <d v="2024-01-29T00:00:00"/>
        <d v="2024-02-01T00:00:00"/>
        <d v="2024-02-04T00:00:00"/>
        <d v="2024-02-07T00:00:00"/>
        <d v="2024-02-10T00:00:00"/>
        <d v="2024-02-13T00:00:00"/>
        <d v="2024-02-16T00:00:00"/>
        <d v="2024-02-19T00:00:00"/>
        <d v="2024-02-22T00:00:00"/>
        <d v="2024-02-25T00:00:00"/>
        <d v="2024-02-28T00:00:00"/>
        <d v="2024-03-02T00:00:00"/>
        <d v="2024-03-05T00:00:00"/>
        <d v="2024-03-08T00:00:00"/>
        <d v="2024-03-11T00:00:00"/>
        <d v="2024-03-14T00:00:00"/>
        <d v="2024-03-17T00:00:00"/>
        <d v="2024-03-20T00:00:00"/>
        <d v="2024-03-23T00:00:00"/>
        <d v="2024-03-26T00:00:00"/>
        <d v="2024-03-29T00:00:00"/>
        <d v="2024-04-01T00:00:00"/>
        <d v="2024-04-04T00:00:00"/>
        <d v="2024-04-07T00:00:00"/>
        <d v="2024-04-10T00:00:00"/>
        <d v="2024-04-13T00:00:00"/>
        <d v="2024-04-16T00:00:00"/>
        <d v="2024-04-19T00:00:00"/>
        <d v="2024-04-22T00:00:00"/>
        <d v="2024-04-25T00:00:00"/>
        <d v="2024-04-28T00:00:00"/>
        <d v="2024-05-01T00:00:00"/>
        <d v="2024-05-04T00:00:00"/>
        <d v="2024-05-07T00:00:00"/>
        <d v="2024-05-10T00:00:00"/>
        <d v="2024-05-13T00:00:00"/>
        <d v="2024-05-16T00:00:00"/>
        <d v="2024-05-19T00:00:00"/>
        <d v="2024-05-22T00:00:00"/>
        <d v="2024-05-25T00:00:00"/>
        <d v="2024-05-28T00:00:00"/>
        <d v="2024-05-31T00:00:00"/>
        <d v="2024-06-03T00:00:00"/>
        <d v="2024-06-06T00:00:00"/>
        <d v="2024-06-09T00:00:00"/>
        <d v="2024-06-12T00:00:00"/>
        <d v="2024-06-15T00:00:00"/>
        <d v="2024-06-18T00:00:00"/>
        <d v="2024-06-21T00:00:00"/>
        <d v="2024-06-24T00:00:00"/>
        <d v="2024-06-27T00:00:00"/>
        <d v="2024-06-30T00:00:00"/>
        <d v="2024-07-03T00:00:00"/>
        <d v="2024-07-06T00:00:00"/>
        <d v="2024-07-09T00:00:00"/>
        <d v="2024-07-12T00:00:00"/>
        <d v="2024-07-15T00:00:00"/>
        <d v="2024-07-18T00:00:00"/>
        <d v="2024-07-21T00:00:00"/>
        <d v="2024-07-24T00:00:00"/>
        <d v="2024-07-27T00:00:00"/>
        <d v="2024-07-30T00:00:00"/>
        <d v="2024-08-02T00:00:00"/>
        <d v="2024-08-05T00:00:00"/>
        <d v="2024-08-08T00:00:00"/>
        <d v="2024-08-11T00:00:00"/>
        <d v="2024-08-14T00:00:00"/>
        <d v="2024-08-17T00:00:00"/>
        <d v="2024-08-20T00:00:00"/>
        <d v="2024-08-23T00:00:00"/>
        <d v="2024-08-26T00:00:00"/>
        <d v="2024-08-29T00:00:00"/>
        <d v="2024-09-01T00:00:00"/>
        <d v="2024-09-04T00:00:00"/>
        <d v="2024-09-07T00:00:00"/>
        <d v="2024-09-10T00:00:00"/>
        <d v="2024-09-13T00:00:00"/>
        <d v="2024-09-16T00:00:00"/>
        <d v="2024-09-19T00:00:00"/>
        <d v="2024-09-22T00:00:00"/>
        <d v="2024-09-25T00:00:00"/>
        <d v="2024-09-28T00:00:00"/>
        <d v="2024-10-01T00:00:00"/>
        <d v="2024-10-04T00:00:00"/>
        <d v="2024-10-07T00:00:00"/>
        <d v="2024-10-10T00:00:00"/>
        <d v="2024-10-13T00:00:00"/>
        <d v="2024-10-16T00:00:00"/>
        <d v="2024-10-19T00:00:00"/>
        <d v="2024-10-22T00:00:00"/>
        <d v="2024-10-25T00:00:00"/>
        <d v="2024-10-28T00:00:00"/>
        <d v="2024-10-31T00:00:00"/>
        <d v="2024-11-03T00:00:00"/>
        <d v="2024-11-06T00:00:00"/>
        <d v="2024-11-09T00:00:00"/>
        <d v="2024-11-12T00:00:00"/>
        <d v="2024-11-15T00:00:00"/>
        <d v="2024-11-18T00:00:00"/>
        <d v="2024-11-21T00:00:00"/>
        <d v="2024-11-24T00:00:00"/>
        <d v="2024-11-27T00:00:00"/>
        <d v="2024-11-30T00:00:00"/>
        <d v="2024-12-03T00:00:00"/>
        <d v="2024-12-06T00:00:00"/>
        <d v="2024-12-09T00:00:00"/>
        <d v="2024-12-12T00:00:00"/>
        <d v="2024-12-15T00:00:00"/>
        <d v="2024-12-18T00:00:00"/>
        <d v="2024-12-21T00:00:00"/>
        <d v="2024-12-24T00:00:00"/>
        <d v="2024-12-27T00:00:00"/>
        <d v="2024-12-30T00:00:00"/>
        <d v="2025-01-02T00:00:00"/>
        <d v="2025-01-05T00:00:00"/>
        <d v="2025-01-08T00:00:00"/>
        <d v="2025-01-11T00:00:00"/>
        <d v="2025-01-14T00:00:00"/>
        <d v="2025-01-17T00:00:00"/>
        <d v="2025-01-20T00:00:00"/>
        <d v="2025-01-23T00:00:00"/>
        <d v="2025-01-26T00:00:00"/>
        <d v="2025-01-29T00:00:00"/>
        <d v="2025-02-01T00:00:00"/>
        <d v="2025-02-04T00:00:00"/>
        <d v="2025-02-07T00:00:00"/>
        <d v="2025-02-10T00:00:00"/>
        <d v="2025-02-13T00:00:00"/>
        <d v="2025-02-16T00:00:00"/>
        <d v="2025-02-19T00:00:00"/>
        <d v="2025-02-22T00:00:00"/>
        <d v="2025-02-25T00:00:00"/>
        <d v="2025-02-28T00:00:00"/>
        <d v="2025-03-03T00:00:00"/>
        <d v="2025-03-06T00:00:00"/>
        <d v="2025-03-09T00:00:00"/>
        <d v="2025-03-12T00:00:00"/>
        <d v="2025-03-15T00:00:00"/>
        <d v="2025-03-18T00:00:00"/>
        <d v="2025-03-21T00:00:00"/>
        <d v="2025-03-24T00:00:00"/>
        <d v="2025-03-27T00:00:00"/>
        <d v="2025-03-30T00:00:00"/>
        <d v="2025-04-02T00:00:00"/>
        <d v="2025-04-05T00:00:00"/>
        <d v="2025-04-08T00:00:00"/>
        <d v="2025-04-11T00:00:00"/>
        <d v="2025-04-14T00:00:00"/>
        <d v="2025-04-17T00:00:00"/>
        <d v="2025-04-20T00:00:00"/>
        <d v="2025-04-23T00:00:00"/>
        <d v="2025-04-26T00:00:00"/>
        <d v="2025-04-29T00:00:00"/>
        <d v="2025-05-02T00:00:00"/>
        <d v="2025-05-05T00:00:00"/>
        <d v="2025-05-08T00:00:00"/>
        <d v="2025-05-11T00:00:00"/>
        <d v="2025-05-14T00:00:00"/>
        <d v="2025-05-17T00:00:00"/>
        <d v="2025-05-20T00:00:00"/>
        <d v="2025-05-23T00:00:00"/>
        <d v="2025-05-26T00:00:00"/>
        <d v="2025-05-29T00:00:00"/>
        <d v="2025-06-01T00:00:00"/>
        <d v="2025-06-04T00:00:00"/>
        <d v="2025-06-07T00:00:00"/>
        <d v="2025-06-10T00:00:00"/>
        <d v="2025-06-13T00:00:00"/>
        <d v="2025-06-16T00:00:00"/>
        <d v="2025-06-19T00:00:00"/>
        <d v="2025-06-22T00:00:00"/>
        <d v="2025-06-25T00:00:00"/>
        <d v="2025-06-28T00:00:00"/>
        <d v="2025-07-01T00:00:00"/>
        <d v="2025-07-04T00:00:00"/>
        <d v="2025-07-07T00:00:00"/>
        <d v="2025-07-10T00:00:00"/>
        <d v="2025-07-13T00:00:00"/>
        <d v="2025-07-16T00:00:00"/>
        <d v="2025-07-19T00:00:00"/>
        <d v="2025-07-22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3-01-01T00:00:00" endDate="2025-07-23T00:00:00"/>
        <groupItems count="14">
          <s v="&lt;01-01-2023"/>
          <s v="Jan"/>
          <s v="Feb"/>
          <s v="Mar"/>
          <s v="Apr"/>
          <s v="May"/>
          <s v="Jun"/>
          <s v="Jul"/>
          <s v="Aug"/>
          <s v="Sep"/>
          <s v="Oct"/>
          <s v="Nov"/>
          <s v="Dec"/>
          <s v="&gt;23-07-2025"/>
        </groupItems>
      </fieldGroup>
    </cacheField>
    <cacheField name="Quarters (Date)" numFmtId="0" databaseField="0">
      <fieldGroup base="0">
        <rangePr groupBy="quarters" startDate="2023-01-01T00:00:00" endDate="2025-07-23T00:00:00"/>
        <groupItems count="6">
          <s v="&lt;01-01-2023"/>
          <s v="Qtr1"/>
          <s v="Qtr2"/>
          <s v="Qtr3"/>
          <s v="Qtr4"/>
          <s v="&gt;23-07-2025"/>
        </groupItems>
      </fieldGroup>
    </cacheField>
    <cacheField name="Years (Date)" numFmtId="0" databaseField="0">
      <fieldGroup base="0">
        <rangePr groupBy="years" startDate="2023-01-01T00:00:00" endDate="2025-07-23T00:00:00"/>
        <groupItems count="5">
          <s v="&lt;01-01-2023"/>
          <s v="2023"/>
          <s v="2024"/>
          <s v="2025"/>
          <s v="&gt;23-07-2025"/>
        </groupItems>
      </fieldGroup>
    </cacheField>
  </cacheFields>
  <extLst>
    <ext xmlns:x14="http://schemas.microsoft.com/office/spreadsheetml/2009/9/main" uri="{725AE2AE-9491-48be-B2B4-4EB974FC3084}">
      <x14:pivotCacheDefinition pivotCacheId="812580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r>
    <x v="278"/>
    <x v="1"/>
    <x v="3"/>
    <x v="2"/>
    <n v="120"/>
    <n v="48"/>
    <n v="5760"/>
  </r>
  <r>
    <x v="279"/>
    <x v="2"/>
    <x v="2"/>
    <x v="4"/>
    <n v="25600"/>
    <n v="22"/>
    <n v="563200"/>
  </r>
  <r>
    <x v="280"/>
    <x v="5"/>
    <x v="5"/>
    <x v="3"/>
    <n v="699"/>
    <n v="6"/>
    <n v="4194"/>
  </r>
  <r>
    <x v="281"/>
    <x v="5"/>
    <x v="2"/>
    <x v="2"/>
    <n v="99620"/>
    <n v="12"/>
    <n v="1195440"/>
  </r>
  <r>
    <x v="282"/>
    <x v="2"/>
    <x v="5"/>
    <x v="5"/>
    <n v="450"/>
    <n v="44"/>
    <n v="19800"/>
  </r>
  <r>
    <x v="283"/>
    <x v="5"/>
    <x v="5"/>
    <x v="2"/>
    <n v="1499"/>
    <n v="15"/>
    <n v="22485"/>
  </r>
  <r>
    <x v="284"/>
    <x v="0"/>
    <x v="2"/>
    <x v="4"/>
    <n v="49500"/>
    <n v="26"/>
    <n v="1287000"/>
  </r>
  <r>
    <x v="285"/>
    <x v="1"/>
    <x v="1"/>
    <x v="4"/>
    <n v="960"/>
    <n v="16"/>
    <n v="15360"/>
  </r>
  <r>
    <x v="286"/>
    <x v="2"/>
    <x v="0"/>
    <x v="3"/>
    <n v="5599"/>
    <n v="35"/>
    <n v="195965"/>
  </r>
  <r>
    <x v="287"/>
    <x v="3"/>
    <x v="3"/>
    <x v="0"/>
    <n v="89"/>
    <n v="36"/>
    <n v="3204"/>
  </r>
  <r>
    <x v="288"/>
    <x v="0"/>
    <x v="0"/>
    <x v="5"/>
    <n v="2550"/>
    <n v="20"/>
    <n v="51000"/>
  </r>
  <r>
    <x v="289"/>
    <x v="2"/>
    <x v="2"/>
    <x v="0"/>
    <n v="14500"/>
    <n v="47"/>
    <n v="681500"/>
  </r>
  <r>
    <x v="290"/>
    <x v="5"/>
    <x v="5"/>
    <x v="3"/>
    <n v="2900"/>
    <n v="6"/>
    <n v="17400"/>
  </r>
  <r>
    <x v="291"/>
    <x v="3"/>
    <x v="3"/>
    <x v="4"/>
    <n v="120"/>
    <n v="6"/>
    <n v="720"/>
  </r>
  <r>
    <x v="292"/>
    <x v="4"/>
    <x v="2"/>
    <x v="2"/>
    <n v="52000"/>
    <n v="41"/>
    <n v="2132000"/>
  </r>
  <r>
    <x v="293"/>
    <x v="1"/>
    <x v="5"/>
    <x v="1"/>
    <n v="590"/>
    <n v="29"/>
    <n v="17110"/>
  </r>
  <r>
    <x v="294"/>
    <x v="4"/>
    <x v="1"/>
    <x v="4"/>
    <n v="7999"/>
    <n v="31"/>
    <n v="247969"/>
  </r>
  <r>
    <x v="295"/>
    <x v="2"/>
    <x v="3"/>
    <x v="1"/>
    <n v="999"/>
    <n v="34"/>
    <n v="33966"/>
  </r>
  <r>
    <x v="296"/>
    <x v="5"/>
    <x v="2"/>
    <x v="2"/>
    <n v="990"/>
    <n v="43"/>
    <n v="42570"/>
  </r>
  <r>
    <x v="297"/>
    <x v="2"/>
    <x v="4"/>
    <x v="0"/>
    <n v="11999"/>
    <n v="37"/>
    <n v="443963"/>
  </r>
  <r>
    <x v="298"/>
    <x v="1"/>
    <x v="1"/>
    <x v="0"/>
    <n v="960"/>
    <n v="7"/>
    <n v="6720"/>
  </r>
  <r>
    <x v="299"/>
    <x v="0"/>
    <x v="0"/>
    <x v="2"/>
    <n v="1450"/>
    <n v="19"/>
    <n v="27550"/>
  </r>
  <r>
    <x v="300"/>
    <x v="5"/>
    <x v="5"/>
    <x v="1"/>
    <n v="450"/>
    <n v="47"/>
    <n v="21150"/>
  </r>
  <r>
    <x v="301"/>
    <x v="2"/>
    <x v="2"/>
    <x v="1"/>
    <n v="1499"/>
    <n v="37"/>
    <n v="55463"/>
  </r>
  <r>
    <x v="302"/>
    <x v="4"/>
    <x v="4"/>
    <x v="1"/>
    <n v="79999"/>
    <n v="4"/>
    <n v="319996"/>
  </r>
  <r>
    <x v="303"/>
    <x v="2"/>
    <x v="3"/>
    <x v="4"/>
    <n v="999"/>
    <n v="45"/>
    <n v="44955"/>
  </r>
  <r>
    <x v="304"/>
    <x v="4"/>
    <x v="4"/>
    <x v="0"/>
    <n v="52000"/>
    <n v="15"/>
    <n v="780000"/>
  </r>
  <r>
    <x v="305"/>
    <x v="1"/>
    <x v="4"/>
    <x v="3"/>
    <n v="52000"/>
    <n v="39"/>
    <n v="2028000"/>
  </r>
  <r>
    <x v="306"/>
    <x v="2"/>
    <x v="1"/>
    <x v="3"/>
    <n v="960"/>
    <n v="33"/>
    <n v="31680"/>
  </r>
  <r>
    <x v="307"/>
    <x v="4"/>
    <x v="1"/>
    <x v="2"/>
    <n v="1450"/>
    <n v="34"/>
    <n v="49300"/>
  </r>
  <r>
    <x v="308"/>
    <x v="5"/>
    <x v="5"/>
    <x v="5"/>
    <n v="2500"/>
    <n v="100"/>
    <n v="250000"/>
  </r>
  <r>
    <x v="309"/>
    <x v="1"/>
    <x v="2"/>
    <x v="5"/>
    <n v="86540"/>
    <n v="6"/>
    <n v="519240"/>
  </r>
  <r>
    <x v="310"/>
    <x v="3"/>
    <x v="3"/>
    <x v="5"/>
    <n v="550"/>
    <n v="44"/>
    <n v="24200"/>
  </r>
  <r>
    <x v="311"/>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E93CB-F186-495F-B65A-4408FD800A9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0:B212" firstHeaderRow="1" firstDataRow="1" firstDataCol="1"/>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showAll="0"/>
    <pivotField axis="axisRow" showAll="0">
      <items count="7">
        <item h="1" x="2"/>
        <item h="1" x="4"/>
        <item x="0"/>
        <item h="1" x="5"/>
        <item h="1" x="3"/>
        <item h="1" x="1"/>
        <item t="default"/>
      </items>
    </pivotField>
    <pivotField showAll="0"/>
    <pivotField showAll="0"/>
    <pivotField numFmtId="3" showAll="0"/>
    <pivotField showAll="0" defaultSubtotal="0"/>
    <pivotField showAll="0" defaultSubtotal="0"/>
    <pivotField showAll="0" defaultSubtotal="0">
      <items count="5">
        <item x="0"/>
        <item x="1"/>
        <item x="2"/>
        <item x="3"/>
        <item x="4"/>
      </items>
    </pivotField>
  </pivotFields>
  <rowFields count="1">
    <field x="3"/>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35D2E6-BACB-4EAA-AF05-01B6F4BFA9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B69" firstHeaderRow="1" firstDataRow="1" firstDataCol="1"/>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showAll="0"/>
    <pivotField axis="axisRow" showAll="0">
      <items count="7">
        <item x="2"/>
        <item x="4"/>
        <item x="0"/>
        <item x="5"/>
        <item x="3"/>
        <item x="1"/>
        <item t="default"/>
      </items>
    </pivotField>
    <pivotField showAll="0"/>
    <pivotField showAll="0"/>
    <pivotField dataField="1" numFmtId="3" showAll="0"/>
    <pivotField showAll="0" defaultSubtotal="0"/>
    <pivotField showAll="0" defaultSubtotal="0"/>
    <pivotField showAll="0" defaultSubtotal="0">
      <items count="5">
        <item x="0"/>
        <item x="1"/>
        <item x="2"/>
        <item x="3"/>
        <item x="4"/>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134AB-DFA7-47C1-B035-78147A3B772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55:D172" firstHeaderRow="1" firstDataRow="1" firstDataCol="0"/>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showAll="0"/>
    <pivotField showAll="0"/>
    <pivotField showAll="0"/>
    <pivotField showAll="0"/>
    <pivotField numFmtId="3" showAll="0"/>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filters count="1">
    <filter fld="0" type="dateBetween" evalOrder="-1" id="18" name="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124BA-7F6E-4FFE-A3FE-89219160AC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A181" firstHeaderRow="1" firstDataRow="1" firstDataCol="0"/>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showAll="0"/>
    <pivotField showAll="0"/>
    <pivotField showAll="0"/>
    <pivotField showAll="0"/>
    <pivotField dataField="1" numFmtId="3"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Count of Amou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4E0C55-A8B1-4658-9DC7-5B30F182D1F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B3" firstHeaderRow="1" firstDataRow="1" firstDataCol="1"/>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7">
        <item x="4"/>
        <item x="2"/>
        <item x="1"/>
        <item x="3"/>
        <item x="5"/>
        <item x="0"/>
        <item t="default"/>
      </items>
    </pivotField>
    <pivotField axis="axisRow" showAll="0">
      <items count="7">
        <item h="1" x="2"/>
        <item h="1" x="0"/>
        <item h="1" x="4"/>
        <item h="1" x="1"/>
        <item x="3"/>
        <item h="1" x="5"/>
        <item t="default"/>
      </items>
    </pivotField>
    <pivotField showAll="0">
      <items count="7">
        <item x="2"/>
        <item h="1"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v="4"/>
    </i>
    <i t="grand">
      <x/>
    </i>
  </rowItems>
  <colItems count="1">
    <i/>
  </colItems>
  <dataFields count="1">
    <dataField name="Sum of Amount" fld="6" baseField="0" baseItem="0" numFmtId="3"/>
  </dataFields>
  <chartFormats count="4">
    <chartFormat chart="7"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8" name="Date">
      <autoFilter ref="A1">
        <filterColumn colId="0">
          <customFilters and="1">
            <customFilter operator="greaterThanOrEqual" val="45778"/>
            <customFilter operator="lessThanOrEqual" val="459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FEFF45-8827-4F99-8E45-BB723EEB1B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2:A173" firstHeaderRow="1" firstDataRow="1" firstDataCol="0"/>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showAll="0"/>
    <pivotField showAll="0"/>
    <pivotField showAll="0"/>
    <pivotField showAll="0"/>
    <pivotField dataField="1" numFmtId="3"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Amount"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A25717-43A0-4A68-9610-70433688AD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4:A136" firstHeaderRow="1" firstDataRow="1" firstDataCol="1"/>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axis="axisRow" showAll="0">
      <items count="7">
        <item h="1" x="2"/>
        <item h="1" x="0"/>
        <item h="1" x="4"/>
        <item x="1"/>
        <item h="1" x="3"/>
        <item h="1" x="5"/>
        <item t="default"/>
      </items>
    </pivotField>
    <pivotField showAll="0"/>
    <pivotField showAll="0"/>
    <pivotField showAll="0"/>
    <pivotField numFmtId="3" showAll="0"/>
    <pivotField showAll="0" defaultSubtotal="0"/>
    <pivotField showAll="0" defaultSubtotal="0"/>
    <pivotField showAll="0" defaultSubtotal="0">
      <items count="5">
        <item x="0"/>
        <item x="1"/>
        <item x="2"/>
        <item x="3"/>
        <item x="4"/>
      </items>
    </pivotField>
  </pivotFields>
  <rowFields count="1">
    <field x="2"/>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36E58-8192-4981-92A2-8590A7150E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14:C127" firstHeaderRow="1" firstDataRow="1" firstDataCol="1"/>
  <pivotFields count="10">
    <pivotField axis="axisRow"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showAll="0">
      <items count="7">
        <item x="2"/>
        <item x="0"/>
        <item x="4"/>
        <item x="1"/>
        <item x="3"/>
        <item x="5"/>
        <item t="default"/>
      </items>
    </pivotField>
    <pivotField showAll="0"/>
    <pivotField showAll="0"/>
    <pivotField showAll="0"/>
    <pivotField dataField="1" numFmtId="3"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2DC6FD-7DC0-40E7-A129-B6009099DC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1:B98" firstHeaderRow="1" firstDataRow="1" firstDataCol="1"/>
  <pivotFields count="10">
    <pivotField numFmtId="1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axis="axisRow" showAll="0">
      <items count="7">
        <item x="2"/>
        <item x="0"/>
        <item x="4"/>
        <item x="1"/>
        <item x="3"/>
        <item x="5"/>
        <item t="default"/>
      </items>
    </pivotField>
    <pivotField showAll="0"/>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7">
    <i>
      <x/>
    </i>
    <i>
      <x v="1"/>
    </i>
    <i>
      <x v="2"/>
    </i>
    <i>
      <x v="3"/>
    </i>
    <i>
      <x v="4"/>
    </i>
    <i>
      <x v="5"/>
    </i>
    <i t="grand">
      <x/>
    </i>
  </rowItems>
  <colItems count="1">
    <i/>
  </colItems>
  <dataFields count="1">
    <dataField name="Sum of Amount" fld="6" showDataAs="percentOfTotal" baseField="0" baseItem="0" numFmtId="10"/>
  </dataFields>
  <formats count="1">
    <format dxfId="2">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6EB36C43-6898-4656-B0DF-2CF53163D57C}" sourceName="Place">
  <pivotTables>
    <pivotTable tabId="2" name="PivotTable1"/>
  </pivotTables>
  <data>
    <tabular pivotCacheId="812580228">
      <items count="6">
        <i x="4"/>
        <i x="0" s="1"/>
        <i x="5"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08F982A-59A3-4C15-84EA-57670A8F5FA8}" sourceName="Products">
  <pivotTables>
    <pivotTable tabId="2" name="PivotTable1"/>
  </pivotTables>
  <data>
    <tabular pivotCacheId="812580228">
      <items count="6">
        <i x="2"/>
        <i x="0"/>
        <i x="4"/>
        <i x="1"/>
        <i x="3"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1" xr10:uid="{4D3966BA-F4DE-4867-939D-A28B210BE34F}" sourceName="Products">
  <pivotTables>
    <pivotTable tabId="2" name="PivotTable8"/>
  </pivotTables>
  <data>
    <tabular pivotCacheId="812580228">
      <items count="6">
        <i x="2"/>
        <i x="0"/>
        <i x="4"/>
        <i x="1" s="1"/>
        <i x="3"/>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1" xr10:uid="{8DFFDFF4-FB05-46E6-8E48-19CD06E2BD95}" sourceName="Place">
  <pivotTables>
    <pivotTable tabId="2" name="PivotTable10"/>
  </pivotTables>
  <data>
    <tabular pivotCacheId="812580228">
      <items count="6">
        <i x="2"/>
        <i x="4"/>
        <i x="0" s="1"/>
        <i x="5"/>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6EFD155F-0761-4F6E-95A6-40C88984EAF7}" cache="Slicer_Place" caption="Place" columnCount="2" rowHeight="241300"/>
  <slicer name="Products" xr10:uid="{C9D39894-976B-4C2D-B400-E4E12D3ABDC0}" cache="Slicer_Products" caption="Products" columnCount="6" rowHeight="241300"/>
  <slicer name="Products 2" xr10:uid="{B01B273D-698A-42D9-829D-780104223DD4}" cache="Slicer_Products1" caption="Products" columnCount="6" rowHeight="241300"/>
  <slicer name="Place 1" xr10:uid="{CB221654-BC84-44EE-A2E3-8F19A3A7F80A}" cache="Slicer_Place1" caption="Plac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D5648E84-D4E7-4CFA-96C2-80512F844182}" cache="Slicer_Products1" caption="Products" columnCount="6" rowHeight="241300"/>
  <slicer name="Place 2" xr10:uid="{5DBB579E-B24F-4F58-AC33-4CABA4E12582}" cache="Slicer_Place1" caption="Plac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AAEFA3-A70F-4AC3-A867-218950A1E380}" name="Table1" displayName="Table1" ref="A3:G315" totalsRowShown="0">
  <autoFilter ref="A3:G315" xr:uid="{71AAEFA3-A70F-4AC3-A867-218950A1E380}"/>
  <tableColumns count="7">
    <tableColumn id="1" xr3:uid="{C87B0272-7591-4BCB-BD65-AA8FA3414117}" name="Date" dataDxfId="1"/>
    <tableColumn id="2" xr3:uid="{BC65C8EC-17E9-48C7-8F20-A52C02D4DFC7}" name="Sales Persons"/>
    <tableColumn id="3" xr3:uid="{B991AEF3-ACFE-458C-A580-4A138EAA66CA}" name="Products"/>
    <tableColumn id="4" xr3:uid="{4D68BFCB-6598-4A08-824C-E6E0C2947BB1}" name="Place"/>
    <tableColumn id="5" xr3:uid="{E43BC845-777C-43A1-B2E0-9EEBF3AFD728}" name="Price"/>
    <tableColumn id="6" xr3:uid="{DD710011-8804-44BE-ADA9-46CF68E869B7}" name="Units"/>
    <tableColumn id="7" xr3:uid="{18E5E04D-FF88-4808-9421-D7C33CCDA624}"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FA4830-9734-4ED0-8F56-B4653D0E5F3C}" name="Table2" displayName="Table2" ref="A3:G69" totalsRowShown="0">
  <autoFilter ref="A3:G69" xr:uid="{DFFA4830-9734-4ED0-8F56-B4653D0E5F3C}"/>
  <tableColumns count="7">
    <tableColumn id="1" xr3:uid="{C4F0B77C-2EF3-491B-A727-E87F91C0896D}" name="Date" dataDxfId="0"/>
    <tableColumn id="2" xr3:uid="{C848D4B7-396C-4A2A-AD08-33310001E967}" name="Sales Persons"/>
    <tableColumn id="3" xr3:uid="{547F61FB-6E5D-471A-86B8-A9EF021060EB}" name="Products"/>
    <tableColumn id="4" xr3:uid="{B05D95A3-E316-4535-9284-0F39AE562E04}" name="Place"/>
    <tableColumn id="5" xr3:uid="{6F8A2582-48C8-4C9C-BFDC-9AF8AB993438}" name="Price"/>
    <tableColumn id="6" xr3:uid="{2820B765-3AB0-4127-9B11-F7E1057BE471}" name="Units"/>
    <tableColumn id="7" xr3:uid="{75627C6C-F834-4BF5-A871-9D318616E29F}"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A53F3F2-D39A-459C-883A-7D1C33AAD480}" sourceName="Date">
  <pivotTables>
    <pivotTable tabId="2" name="PivotTable1"/>
  </pivotTables>
  <state minimalRefreshVersion="6" lastRefreshVersion="6" pivotCacheId="812580228" filterType="dateBetween">
    <selection startDate="2025-05-01T00:00:00" endDate="2025-08-31T00:00:00"/>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AE05CB6F-0D3B-4767-A711-AC3B5B67D19A}" sourceName="Date">
  <pivotTables>
    <pivotTable tabId="2" name="PivotTable9"/>
  </pivotTables>
  <state minimalRefreshVersion="6" lastRefreshVersion="6" pivotCacheId="812580228" filterType="dateBetween">
    <selection startDate="2024-10-01T00:00:00" endDate="2024-10-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45585D6-2F31-4053-AE73-914A5BF7B287}" cache="NativeTimeline_Date" caption="Date" level="2" selectionLevel="2" scrollPosition="2025-01-01T00:00:00"/>
  <timeline name="Date 1" xr10:uid="{F24C97A4-00C7-491E-9CBB-2B417D2A954D}" cache="NativeTimeline_Date1" caption="Date" level="2" selectionLevel="2" scrollPosition="2023-12-0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3906509-C838-4D4F-A7CB-578EA646E15D}" cache="NativeTimeline_Date1" caption="Date" level="2" selectionLevel="2" scrollPosition="2023-12-08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7186-5DEF-46D5-8340-9252E9F2C1EC}">
  <sheetPr codeName="Sheet1"/>
  <dimension ref="A1:G313"/>
  <sheetViews>
    <sheetView workbookViewId="0">
      <selection activeCell="C17" sqref="C17"/>
    </sheetView>
  </sheetViews>
  <sheetFormatPr defaultRowHeight="14.5" x14ac:dyDescent="0.35"/>
  <cols>
    <col min="1" max="1" width="13.36328125" customWidth="1"/>
    <col min="3" max="3" width="10.6328125" customWidth="1"/>
    <col min="4" max="5" width="11.1796875" customWidth="1"/>
    <col min="6" max="6" width="11.90625" customWidth="1"/>
    <col min="7" max="7" width="13.54296875" customWidth="1"/>
  </cols>
  <sheetData>
    <row r="1" spans="1:7" ht="18.5" x14ac:dyDescent="0.45">
      <c r="A1" s="1" t="s">
        <v>0</v>
      </c>
      <c r="B1" s="2" t="s">
        <v>1</v>
      </c>
      <c r="C1" s="2" t="s">
        <v>2</v>
      </c>
      <c r="D1" s="2" t="s">
        <v>3</v>
      </c>
      <c r="E1" s="2" t="s">
        <v>4</v>
      </c>
      <c r="F1" s="2" t="s">
        <v>5</v>
      </c>
      <c r="G1" s="2" t="s">
        <v>6</v>
      </c>
    </row>
    <row r="2" spans="1:7" ht="15.5" x14ac:dyDescent="0.35">
      <c r="A2" s="3">
        <v>44927</v>
      </c>
      <c r="B2" s="4" t="s">
        <v>7</v>
      </c>
      <c r="C2" s="4" t="s">
        <v>8</v>
      </c>
      <c r="D2" s="4" t="s">
        <v>9</v>
      </c>
      <c r="E2" s="4">
        <v>499</v>
      </c>
      <c r="F2" s="4">
        <v>50</v>
      </c>
      <c r="G2" s="5">
        <f>E2*F2</f>
        <v>24950</v>
      </c>
    </row>
    <row r="3" spans="1:7" ht="15.5" x14ac:dyDescent="0.35">
      <c r="A3" s="6">
        <v>44930</v>
      </c>
      <c r="B3" s="7" t="s">
        <v>10</v>
      </c>
      <c r="C3" s="7" t="s">
        <v>8</v>
      </c>
      <c r="D3" s="7" t="s">
        <v>11</v>
      </c>
      <c r="E3" s="7">
        <v>5599</v>
      </c>
      <c r="F3" s="7">
        <v>33</v>
      </c>
      <c r="G3" s="8">
        <f t="shared" ref="G3:G66" si="0">E3*F3</f>
        <v>184767</v>
      </c>
    </row>
    <row r="4" spans="1:7" ht="15.5" x14ac:dyDescent="0.35">
      <c r="A4" s="3">
        <v>44933</v>
      </c>
      <c r="B4" s="4" t="s">
        <v>12</v>
      </c>
      <c r="C4" s="4" t="s">
        <v>13</v>
      </c>
      <c r="D4" s="4" t="s">
        <v>14</v>
      </c>
      <c r="E4" s="4">
        <v>1450</v>
      </c>
      <c r="F4" s="4">
        <v>44</v>
      </c>
      <c r="G4" s="5">
        <f t="shared" si="0"/>
        <v>63800</v>
      </c>
    </row>
    <row r="5" spans="1:7" ht="15.5" x14ac:dyDescent="0.35">
      <c r="A5" s="6">
        <v>44936</v>
      </c>
      <c r="B5" s="7" t="s">
        <v>15</v>
      </c>
      <c r="C5" s="7" t="s">
        <v>16</v>
      </c>
      <c r="D5" s="7" t="s">
        <v>9</v>
      </c>
      <c r="E5" s="7">
        <v>85000</v>
      </c>
      <c r="F5" s="7">
        <v>50</v>
      </c>
      <c r="G5" s="8">
        <f t="shared" si="0"/>
        <v>4250000</v>
      </c>
    </row>
    <row r="6" spans="1:7" ht="15.5" x14ac:dyDescent="0.35">
      <c r="A6" s="3">
        <v>44939</v>
      </c>
      <c r="B6" s="4" t="s">
        <v>15</v>
      </c>
      <c r="C6" s="4" t="s">
        <v>17</v>
      </c>
      <c r="D6" s="4" t="s">
        <v>18</v>
      </c>
      <c r="E6" s="4">
        <v>15000</v>
      </c>
      <c r="F6" s="4">
        <v>11</v>
      </c>
      <c r="G6" s="5">
        <f t="shared" si="0"/>
        <v>165000</v>
      </c>
    </row>
    <row r="7" spans="1:7" ht="15.5" x14ac:dyDescent="0.35">
      <c r="A7" s="6">
        <v>44942</v>
      </c>
      <c r="B7" s="7" t="s">
        <v>10</v>
      </c>
      <c r="C7" s="7" t="s">
        <v>8</v>
      </c>
      <c r="D7" s="7" t="s">
        <v>18</v>
      </c>
      <c r="E7" s="7">
        <v>2550</v>
      </c>
      <c r="F7" s="7">
        <v>48</v>
      </c>
      <c r="G7" s="8">
        <f t="shared" si="0"/>
        <v>122400</v>
      </c>
    </row>
    <row r="8" spans="1:7" ht="15.5" x14ac:dyDescent="0.35">
      <c r="A8" s="3">
        <v>44945</v>
      </c>
      <c r="B8" s="4" t="s">
        <v>19</v>
      </c>
      <c r="C8" s="4" t="s">
        <v>20</v>
      </c>
      <c r="D8" s="4" t="s">
        <v>14</v>
      </c>
      <c r="E8" s="4">
        <v>33000</v>
      </c>
      <c r="F8" s="4">
        <v>26</v>
      </c>
      <c r="G8" s="5">
        <f t="shared" si="0"/>
        <v>858000</v>
      </c>
    </row>
    <row r="9" spans="1:7" ht="15.5" x14ac:dyDescent="0.35">
      <c r="A9" s="6">
        <v>44948</v>
      </c>
      <c r="B9" s="7" t="s">
        <v>7</v>
      </c>
      <c r="C9" s="7" t="s">
        <v>16</v>
      </c>
      <c r="D9" s="7" t="s">
        <v>21</v>
      </c>
      <c r="E9" s="7">
        <v>86000</v>
      </c>
      <c r="F9" s="7">
        <v>39</v>
      </c>
      <c r="G9" s="8">
        <f t="shared" si="0"/>
        <v>3354000</v>
      </c>
    </row>
    <row r="10" spans="1:7" ht="15.5" x14ac:dyDescent="0.35">
      <c r="A10" s="3">
        <v>44951</v>
      </c>
      <c r="B10" s="4" t="s">
        <v>12</v>
      </c>
      <c r="C10" s="4" t="s">
        <v>22</v>
      </c>
      <c r="D10" s="4" t="s">
        <v>18</v>
      </c>
      <c r="E10" s="4">
        <v>990</v>
      </c>
      <c r="F10" s="4">
        <v>9</v>
      </c>
      <c r="G10" s="5">
        <f t="shared" si="0"/>
        <v>8910</v>
      </c>
    </row>
    <row r="11" spans="1:7" ht="15.5" x14ac:dyDescent="0.35">
      <c r="A11" s="6">
        <v>44954</v>
      </c>
      <c r="B11" s="7" t="s">
        <v>7</v>
      </c>
      <c r="C11" s="7" t="s">
        <v>8</v>
      </c>
      <c r="D11" s="7" t="s">
        <v>9</v>
      </c>
      <c r="E11" s="7">
        <v>5599</v>
      </c>
      <c r="F11" s="7">
        <v>41</v>
      </c>
      <c r="G11" s="8">
        <f t="shared" si="0"/>
        <v>229559</v>
      </c>
    </row>
    <row r="12" spans="1:7" ht="15.5" x14ac:dyDescent="0.35">
      <c r="A12" s="3">
        <v>44957</v>
      </c>
      <c r="B12" s="4" t="s">
        <v>19</v>
      </c>
      <c r="C12" s="4" t="s">
        <v>20</v>
      </c>
      <c r="D12" s="4" t="s">
        <v>14</v>
      </c>
      <c r="E12" s="4">
        <v>499</v>
      </c>
      <c r="F12" s="4">
        <v>39</v>
      </c>
      <c r="G12" s="5">
        <f t="shared" si="0"/>
        <v>19461</v>
      </c>
    </row>
    <row r="13" spans="1:7" ht="15.5" x14ac:dyDescent="0.35">
      <c r="A13" s="6">
        <v>44960</v>
      </c>
      <c r="B13" s="7" t="s">
        <v>10</v>
      </c>
      <c r="C13" s="7" t="s">
        <v>22</v>
      </c>
      <c r="D13" s="7" t="s">
        <v>9</v>
      </c>
      <c r="E13" s="7">
        <v>1999</v>
      </c>
      <c r="F13" s="7">
        <v>4</v>
      </c>
      <c r="G13" s="8">
        <f t="shared" si="0"/>
        <v>7996</v>
      </c>
    </row>
    <row r="14" spans="1:7" ht="15.5" x14ac:dyDescent="0.35">
      <c r="A14" s="3">
        <v>44963</v>
      </c>
      <c r="B14" s="4" t="s">
        <v>15</v>
      </c>
      <c r="C14" s="4" t="s">
        <v>16</v>
      </c>
      <c r="D14" s="4" t="s">
        <v>9</v>
      </c>
      <c r="E14" s="4">
        <v>63400</v>
      </c>
      <c r="F14" s="4">
        <v>8</v>
      </c>
      <c r="G14" s="5">
        <f t="shared" si="0"/>
        <v>507200</v>
      </c>
    </row>
    <row r="15" spans="1:7" ht="15.5" x14ac:dyDescent="0.35">
      <c r="A15" s="6">
        <v>44966</v>
      </c>
      <c r="B15" s="7" t="s">
        <v>23</v>
      </c>
      <c r="C15" s="7" t="s">
        <v>22</v>
      </c>
      <c r="D15" s="7" t="s">
        <v>18</v>
      </c>
      <c r="E15" s="7">
        <v>1499</v>
      </c>
      <c r="F15" s="7">
        <v>27</v>
      </c>
      <c r="G15" s="8">
        <f t="shared" si="0"/>
        <v>40473</v>
      </c>
    </row>
    <row r="16" spans="1:7" ht="15.5" x14ac:dyDescent="0.35">
      <c r="A16" s="3">
        <v>44969</v>
      </c>
      <c r="B16" s="4" t="s">
        <v>15</v>
      </c>
      <c r="C16" s="4" t="s">
        <v>17</v>
      </c>
      <c r="D16" s="4" t="s">
        <v>14</v>
      </c>
      <c r="E16" s="4">
        <v>120</v>
      </c>
      <c r="F16" s="4">
        <v>10</v>
      </c>
      <c r="G16" s="5">
        <f t="shared" si="0"/>
        <v>1200</v>
      </c>
    </row>
    <row r="17" spans="1:7" ht="15.5" x14ac:dyDescent="0.35">
      <c r="A17" s="6">
        <v>44972</v>
      </c>
      <c r="B17" s="7" t="s">
        <v>10</v>
      </c>
      <c r="C17" s="7" t="s">
        <v>20</v>
      </c>
      <c r="D17" s="7" t="s">
        <v>21</v>
      </c>
      <c r="E17" s="7">
        <v>11999</v>
      </c>
      <c r="F17" s="7">
        <v>17</v>
      </c>
      <c r="G17" s="8">
        <f t="shared" si="0"/>
        <v>203983</v>
      </c>
    </row>
    <row r="18" spans="1:7" ht="15.5" x14ac:dyDescent="0.35">
      <c r="A18" s="3">
        <v>44975</v>
      </c>
      <c r="B18" s="4" t="s">
        <v>12</v>
      </c>
      <c r="C18" s="4" t="s">
        <v>16</v>
      </c>
      <c r="D18" s="4" t="s">
        <v>11</v>
      </c>
      <c r="E18" s="4">
        <v>47500</v>
      </c>
      <c r="F18" s="4">
        <v>27</v>
      </c>
      <c r="G18" s="5">
        <f t="shared" si="0"/>
        <v>1282500</v>
      </c>
    </row>
    <row r="19" spans="1:7" ht="15.5" x14ac:dyDescent="0.35">
      <c r="A19" s="6">
        <v>44978</v>
      </c>
      <c r="B19" s="7" t="s">
        <v>19</v>
      </c>
      <c r="C19" s="7" t="s">
        <v>20</v>
      </c>
      <c r="D19" s="7" t="s">
        <v>11</v>
      </c>
      <c r="E19" s="7">
        <v>2999</v>
      </c>
      <c r="F19" s="7">
        <v>43</v>
      </c>
      <c r="G19" s="8">
        <f t="shared" si="0"/>
        <v>128957</v>
      </c>
    </row>
    <row r="20" spans="1:7" ht="15.5" x14ac:dyDescent="0.35">
      <c r="A20" s="3">
        <v>44981</v>
      </c>
      <c r="B20" s="4" t="s">
        <v>15</v>
      </c>
      <c r="C20" s="4" t="s">
        <v>17</v>
      </c>
      <c r="D20" s="4" t="s">
        <v>11</v>
      </c>
      <c r="E20" s="4">
        <v>8900</v>
      </c>
      <c r="F20" s="4">
        <v>9</v>
      </c>
      <c r="G20" s="5">
        <f t="shared" si="0"/>
        <v>80100</v>
      </c>
    </row>
    <row r="21" spans="1:7" ht="15.5" x14ac:dyDescent="0.35">
      <c r="A21" s="6">
        <v>44984</v>
      </c>
      <c r="B21" s="7" t="s">
        <v>10</v>
      </c>
      <c r="C21" s="7" t="s">
        <v>20</v>
      </c>
      <c r="D21" s="7" t="s">
        <v>9</v>
      </c>
      <c r="E21" s="7">
        <v>22000</v>
      </c>
      <c r="F21" s="7">
        <v>42</v>
      </c>
      <c r="G21" s="8">
        <f t="shared" si="0"/>
        <v>924000</v>
      </c>
    </row>
    <row r="22" spans="1:7" ht="15.5" x14ac:dyDescent="0.35">
      <c r="A22" s="3">
        <v>44987</v>
      </c>
      <c r="B22" s="4" t="s">
        <v>12</v>
      </c>
      <c r="C22" s="4" t="s">
        <v>13</v>
      </c>
      <c r="D22" s="4" t="s">
        <v>11</v>
      </c>
      <c r="E22" s="4">
        <v>1250</v>
      </c>
      <c r="F22" s="4">
        <v>6</v>
      </c>
      <c r="G22" s="5">
        <f t="shared" si="0"/>
        <v>7500</v>
      </c>
    </row>
    <row r="23" spans="1:7" ht="15.5" x14ac:dyDescent="0.35">
      <c r="A23" s="6">
        <v>44990</v>
      </c>
      <c r="B23" s="7" t="s">
        <v>15</v>
      </c>
      <c r="C23" s="7" t="s">
        <v>17</v>
      </c>
      <c r="D23" s="7" t="s">
        <v>18</v>
      </c>
      <c r="E23" s="7">
        <v>999</v>
      </c>
      <c r="F23" s="7">
        <v>28</v>
      </c>
      <c r="G23" s="8">
        <f t="shared" si="0"/>
        <v>27972</v>
      </c>
    </row>
    <row r="24" spans="1:7" ht="15.5" x14ac:dyDescent="0.35">
      <c r="A24" s="3">
        <v>44993</v>
      </c>
      <c r="B24" s="4" t="s">
        <v>19</v>
      </c>
      <c r="C24" s="4" t="s">
        <v>13</v>
      </c>
      <c r="D24" s="4" t="s">
        <v>21</v>
      </c>
      <c r="E24" s="4">
        <v>1450</v>
      </c>
      <c r="F24" s="4">
        <v>13</v>
      </c>
      <c r="G24" s="5">
        <f t="shared" si="0"/>
        <v>18850</v>
      </c>
    </row>
    <row r="25" spans="1:7" ht="15.5" x14ac:dyDescent="0.35">
      <c r="A25" s="6">
        <v>44996</v>
      </c>
      <c r="B25" s="7" t="s">
        <v>19</v>
      </c>
      <c r="C25" s="7" t="s">
        <v>13</v>
      </c>
      <c r="D25" s="7" t="s">
        <v>14</v>
      </c>
      <c r="E25" s="7">
        <v>23999</v>
      </c>
      <c r="F25" s="7">
        <v>8</v>
      </c>
      <c r="G25" s="8">
        <f t="shared" si="0"/>
        <v>191992</v>
      </c>
    </row>
    <row r="26" spans="1:7" ht="15.5" x14ac:dyDescent="0.35">
      <c r="A26" s="3">
        <v>44999</v>
      </c>
      <c r="B26" s="4" t="s">
        <v>10</v>
      </c>
      <c r="C26" s="4" t="s">
        <v>16</v>
      </c>
      <c r="D26" s="4" t="s">
        <v>21</v>
      </c>
      <c r="E26" s="4">
        <v>65200</v>
      </c>
      <c r="F26" s="4">
        <v>7</v>
      </c>
      <c r="G26" s="5">
        <f t="shared" si="0"/>
        <v>456400</v>
      </c>
    </row>
    <row r="27" spans="1:7" ht="15.5" x14ac:dyDescent="0.35">
      <c r="A27" s="6">
        <v>45002</v>
      </c>
      <c r="B27" s="7" t="s">
        <v>10</v>
      </c>
      <c r="C27" s="7" t="s">
        <v>22</v>
      </c>
      <c r="D27" s="7" t="s">
        <v>11</v>
      </c>
      <c r="E27" s="7">
        <v>699</v>
      </c>
      <c r="F27" s="7">
        <v>45</v>
      </c>
      <c r="G27" s="8">
        <f t="shared" si="0"/>
        <v>31455</v>
      </c>
    </row>
    <row r="28" spans="1:7" ht="15.5" x14ac:dyDescent="0.35">
      <c r="A28" s="3">
        <v>45005</v>
      </c>
      <c r="B28" s="4" t="s">
        <v>7</v>
      </c>
      <c r="C28" s="4" t="s">
        <v>8</v>
      </c>
      <c r="D28" s="4" t="s">
        <v>9</v>
      </c>
      <c r="E28" s="4">
        <v>2550</v>
      </c>
      <c r="F28" s="4">
        <v>22</v>
      </c>
      <c r="G28" s="5">
        <f t="shared" si="0"/>
        <v>56100</v>
      </c>
    </row>
    <row r="29" spans="1:7" ht="15.5" x14ac:dyDescent="0.35">
      <c r="A29" s="6">
        <v>45008</v>
      </c>
      <c r="B29" s="7" t="s">
        <v>12</v>
      </c>
      <c r="C29" s="7" t="s">
        <v>20</v>
      </c>
      <c r="D29" s="7" t="s">
        <v>21</v>
      </c>
      <c r="E29" s="7">
        <v>22000</v>
      </c>
      <c r="F29" s="7">
        <v>4</v>
      </c>
      <c r="G29" s="8">
        <f t="shared" si="0"/>
        <v>88000</v>
      </c>
    </row>
    <row r="30" spans="1:7" ht="15.5" x14ac:dyDescent="0.35">
      <c r="A30" s="3">
        <v>45011</v>
      </c>
      <c r="B30" s="4" t="s">
        <v>19</v>
      </c>
      <c r="C30" s="4" t="s">
        <v>16</v>
      </c>
      <c r="D30" s="4" t="s">
        <v>9</v>
      </c>
      <c r="E30" s="4">
        <v>22000</v>
      </c>
      <c r="F30" s="4">
        <v>10</v>
      </c>
      <c r="G30" s="5">
        <f t="shared" si="0"/>
        <v>220000</v>
      </c>
    </row>
    <row r="31" spans="1:7" ht="15.5" x14ac:dyDescent="0.35">
      <c r="A31" s="6">
        <v>45014</v>
      </c>
      <c r="B31" s="7" t="s">
        <v>23</v>
      </c>
      <c r="C31" s="7" t="s">
        <v>22</v>
      </c>
      <c r="D31" s="7" t="s">
        <v>18</v>
      </c>
      <c r="E31" s="7">
        <v>1499</v>
      </c>
      <c r="F31" s="7">
        <v>16</v>
      </c>
      <c r="G31" s="8">
        <f t="shared" si="0"/>
        <v>23984</v>
      </c>
    </row>
    <row r="32" spans="1:7" ht="15.5" x14ac:dyDescent="0.35">
      <c r="A32" s="3">
        <v>45017</v>
      </c>
      <c r="B32" s="4" t="s">
        <v>10</v>
      </c>
      <c r="C32" s="4" t="s">
        <v>17</v>
      </c>
      <c r="D32" s="4" t="s">
        <v>21</v>
      </c>
      <c r="E32" s="4">
        <v>120</v>
      </c>
      <c r="F32" s="4">
        <v>22</v>
      </c>
      <c r="G32" s="5">
        <f t="shared" si="0"/>
        <v>2640</v>
      </c>
    </row>
    <row r="33" spans="1:7" ht="15.5" x14ac:dyDescent="0.35">
      <c r="A33" s="6">
        <v>45020</v>
      </c>
      <c r="B33" s="7" t="s">
        <v>7</v>
      </c>
      <c r="C33" s="7" t="s">
        <v>8</v>
      </c>
      <c r="D33" s="7" t="s">
        <v>14</v>
      </c>
      <c r="E33" s="7">
        <v>1450</v>
      </c>
      <c r="F33" s="7">
        <v>20</v>
      </c>
      <c r="G33" s="8">
        <f t="shared" si="0"/>
        <v>29000</v>
      </c>
    </row>
    <row r="34" spans="1:7" ht="15.5" x14ac:dyDescent="0.35">
      <c r="A34" s="3">
        <v>45023</v>
      </c>
      <c r="B34" s="4" t="s">
        <v>23</v>
      </c>
      <c r="C34" s="4" t="s">
        <v>22</v>
      </c>
      <c r="D34" s="4" t="s">
        <v>18</v>
      </c>
      <c r="E34" s="4">
        <v>1999</v>
      </c>
      <c r="F34" s="4">
        <v>23</v>
      </c>
      <c r="G34" s="5">
        <f t="shared" si="0"/>
        <v>45977</v>
      </c>
    </row>
    <row r="35" spans="1:7" ht="15.5" x14ac:dyDescent="0.35">
      <c r="A35" s="6">
        <v>45026</v>
      </c>
      <c r="B35" s="7" t="s">
        <v>10</v>
      </c>
      <c r="C35" s="7" t="s">
        <v>8</v>
      </c>
      <c r="D35" s="7" t="s">
        <v>9</v>
      </c>
      <c r="E35" s="7">
        <v>800</v>
      </c>
      <c r="F35" s="7">
        <v>43</v>
      </c>
      <c r="G35" s="8">
        <f t="shared" si="0"/>
        <v>34400</v>
      </c>
    </row>
    <row r="36" spans="1:7" ht="15.5" x14ac:dyDescent="0.35">
      <c r="A36" s="3">
        <v>45029</v>
      </c>
      <c r="B36" s="4" t="s">
        <v>12</v>
      </c>
      <c r="C36" s="4" t="s">
        <v>17</v>
      </c>
      <c r="D36" s="4" t="s">
        <v>18</v>
      </c>
      <c r="E36" s="4">
        <v>18000</v>
      </c>
      <c r="F36" s="4">
        <v>41</v>
      </c>
      <c r="G36" s="5">
        <f t="shared" si="0"/>
        <v>738000</v>
      </c>
    </row>
    <row r="37" spans="1:7" ht="15.5" x14ac:dyDescent="0.35">
      <c r="A37" s="6">
        <v>45032</v>
      </c>
      <c r="B37" s="7" t="s">
        <v>7</v>
      </c>
      <c r="C37" s="7" t="s">
        <v>8</v>
      </c>
      <c r="D37" s="7" t="s">
        <v>11</v>
      </c>
      <c r="E37" s="7">
        <v>13999</v>
      </c>
      <c r="F37" s="7">
        <v>37</v>
      </c>
      <c r="G37" s="8">
        <f t="shared" si="0"/>
        <v>517963</v>
      </c>
    </row>
    <row r="38" spans="1:7" ht="15.5" x14ac:dyDescent="0.35">
      <c r="A38" s="3">
        <v>45035</v>
      </c>
      <c r="B38" s="4" t="s">
        <v>10</v>
      </c>
      <c r="C38" s="4" t="s">
        <v>20</v>
      </c>
      <c r="D38" s="4" t="s">
        <v>18</v>
      </c>
      <c r="E38" s="4">
        <v>22000</v>
      </c>
      <c r="F38" s="4">
        <v>45</v>
      </c>
      <c r="G38" s="5">
        <f t="shared" si="0"/>
        <v>990000</v>
      </c>
    </row>
    <row r="39" spans="1:7" ht="15.5" x14ac:dyDescent="0.35">
      <c r="A39" s="6">
        <v>45038</v>
      </c>
      <c r="B39" s="7" t="s">
        <v>19</v>
      </c>
      <c r="C39" s="7" t="s">
        <v>16</v>
      </c>
      <c r="D39" s="7" t="s">
        <v>9</v>
      </c>
      <c r="E39" s="7">
        <v>89999</v>
      </c>
      <c r="F39" s="7">
        <v>15</v>
      </c>
      <c r="G39" s="8">
        <f t="shared" si="0"/>
        <v>1349985</v>
      </c>
    </row>
    <row r="40" spans="1:7" ht="15.5" x14ac:dyDescent="0.35">
      <c r="A40" s="3">
        <v>45041</v>
      </c>
      <c r="B40" s="4" t="s">
        <v>7</v>
      </c>
      <c r="C40" s="4" t="s">
        <v>8</v>
      </c>
      <c r="D40" s="4" t="s">
        <v>14</v>
      </c>
      <c r="E40" s="4">
        <v>13999</v>
      </c>
      <c r="F40" s="4">
        <v>22</v>
      </c>
      <c r="G40" s="5">
        <f t="shared" si="0"/>
        <v>307978</v>
      </c>
    </row>
    <row r="41" spans="1:7" ht="15.5" x14ac:dyDescent="0.35">
      <c r="A41" s="6">
        <v>45044</v>
      </c>
      <c r="B41" s="7" t="s">
        <v>12</v>
      </c>
      <c r="C41" s="7" t="s">
        <v>22</v>
      </c>
      <c r="D41" s="7" t="s">
        <v>11</v>
      </c>
      <c r="E41" s="7">
        <v>2900</v>
      </c>
      <c r="F41" s="7">
        <v>20</v>
      </c>
      <c r="G41" s="8">
        <f t="shared" si="0"/>
        <v>58000</v>
      </c>
    </row>
    <row r="42" spans="1:7" ht="15.5" x14ac:dyDescent="0.35">
      <c r="A42" s="3">
        <v>45047</v>
      </c>
      <c r="B42" s="4" t="s">
        <v>10</v>
      </c>
      <c r="C42" s="4" t="s">
        <v>20</v>
      </c>
      <c r="D42" s="4" t="s">
        <v>18</v>
      </c>
      <c r="E42" s="4">
        <v>33000</v>
      </c>
      <c r="F42" s="4">
        <v>16</v>
      </c>
      <c r="G42" s="5">
        <f t="shared" si="0"/>
        <v>528000</v>
      </c>
    </row>
    <row r="43" spans="1:7" ht="15.5" x14ac:dyDescent="0.35">
      <c r="A43" s="6">
        <v>45050</v>
      </c>
      <c r="B43" s="7" t="s">
        <v>12</v>
      </c>
      <c r="C43" s="7" t="s">
        <v>20</v>
      </c>
      <c r="D43" s="7" t="s">
        <v>11</v>
      </c>
      <c r="E43" s="7">
        <v>22000</v>
      </c>
      <c r="F43" s="7">
        <v>17</v>
      </c>
      <c r="G43" s="8">
        <f t="shared" si="0"/>
        <v>374000</v>
      </c>
    </row>
    <row r="44" spans="1:7" ht="15.5" x14ac:dyDescent="0.35">
      <c r="A44" s="3">
        <v>45053</v>
      </c>
      <c r="B44" s="4" t="s">
        <v>23</v>
      </c>
      <c r="C44" s="4" t="s">
        <v>22</v>
      </c>
      <c r="D44" s="4" t="s">
        <v>11</v>
      </c>
      <c r="E44" s="4">
        <v>699</v>
      </c>
      <c r="F44" s="4">
        <v>50</v>
      </c>
      <c r="G44" s="5">
        <f t="shared" si="0"/>
        <v>34950</v>
      </c>
    </row>
    <row r="45" spans="1:7" ht="15.5" x14ac:dyDescent="0.35">
      <c r="A45" s="6">
        <v>45056</v>
      </c>
      <c r="B45" s="7" t="s">
        <v>19</v>
      </c>
      <c r="C45" s="7" t="s">
        <v>20</v>
      </c>
      <c r="D45" s="7" t="s">
        <v>14</v>
      </c>
      <c r="E45" s="7">
        <v>499</v>
      </c>
      <c r="F45" s="7">
        <v>4</v>
      </c>
      <c r="G45" s="8">
        <f t="shared" si="0"/>
        <v>1996</v>
      </c>
    </row>
    <row r="46" spans="1:7" ht="15.5" x14ac:dyDescent="0.35">
      <c r="A46" s="3">
        <v>45059</v>
      </c>
      <c r="B46" s="4" t="s">
        <v>10</v>
      </c>
      <c r="C46" s="4" t="s">
        <v>22</v>
      </c>
      <c r="D46" s="4" t="s">
        <v>18</v>
      </c>
      <c r="E46" s="4">
        <v>590</v>
      </c>
      <c r="F46" s="4">
        <v>43</v>
      </c>
      <c r="G46" s="5">
        <f t="shared" si="0"/>
        <v>25370</v>
      </c>
    </row>
    <row r="47" spans="1:7" ht="15.5" x14ac:dyDescent="0.35">
      <c r="A47" s="6">
        <v>45062</v>
      </c>
      <c r="B47" s="7" t="s">
        <v>23</v>
      </c>
      <c r="C47" s="7" t="s">
        <v>22</v>
      </c>
      <c r="D47" s="7" t="s">
        <v>11</v>
      </c>
      <c r="E47" s="7">
        <v>590</v>
      </c>
      <c r="F47" s="7">
        <v>42</v>
      </c>
      <c r="G47" s="8">
        <f t="shared" si="0"/>
        <v>24780</v>
      </c>
    </row>
    <row r="48" spans="1:7" ht="15.5" x14ac:dyDescent="0.35">
      <c r="A48" s="3">
        <v>45065</v>
      </c>
      <c r="B48" s="4" t="s">
        <v>10</v>
      </c>
      <c r="C48" s="4" t="s">
        <v>16</v>
      </c>
      <c r="D48" s="4" t="s">
        <v>9</v>
      </c>
      <c r="E48" s="4">
        <v>120</v>
      </c>
      <c r="F48" s="4">
        <v>9</v>
      </c>
      <c r="G48" s="5">
        <f t="shared" si="0"/>
        <v>1080</v>
      </c>
    </row>
    <row r="49" spans="1:7" ht="15.5" x14ac:dyDescent="0.35">
      <c r="A49" s="6">
        <v>45068</v>
      </c>
      <c r="B49" s="7" t="s">
        <v>19</v>
      </c>
      <c r="C49" s="7" t="s">
        <v>20</v>
      </c>
      <c r="D49" s="7" t="s">
        <v>21</v>
      </c>
      <c r="E49" s="7">
        <v>52000</v>
      </c>
      <c r="F49" s="7">
        <v>40</v>
      </c>
      <c r="G49" s="8">
        <f t="shared" si="0"/>
        <v>2080000</v>
      </c>
    </row>
    <row r="50" spans="1:7" ht="15.5" x14ac:dyDescent="0.35">
      <c r="A50" s="3">
        <v>45071</v>
      </c>
      <c r="B50" s="4" t="s">
        <v>12</v>
      </c>
      <c r="C50" s="4" t="s">
        <v>13</v>
      </c>
      <c r="D50" s="4" t="s">
        <v>18</v>
      </c>
      <c r="E50" s="4">
        <v>7999</v>
      </c>
      <c r="F50" s="4">
        <v>14</v>
      </c>
      <c r="G50" s="5">
        <f t="shared" si="0"/>
        <v>111986</v>
      </c>
    </row>
    <row r="51" spans="1:7" ht="15.5" x14ac:dyDescent="0.35">
      <c r="A51" s="6">
        <v>45074</v>
      </c>
      <c r="B51" s="7" t="s">
        <v>10</v>
      </c>
      <c r="C51" s="7" t="s">
        <v>13</v>
      </c>
      <c r="D51" s="7" t="s">
        <v>21</v>
      </c>
      <c r="E51" s="7">
        <v>550</v>
      </c>
      <c r="F51" s="7">
        <v>9</v>
      </c>
      <c r="G51" s="8">
        <f t="shared" si="0"/>
        <v>4950</v>
      </c>
    </row>
    <row r="52" spans="1:7" ht="15.5" x14ac:dyDescent="0.35">
      <c r="A52" s="3">
        <v>45077</v>
      </c>
      <c r="B52" s="4" t="s">
        <v>12</v>
      </c>
      <c r="C52" s="4" t="s">
        <v>16</v>
      </c>
      <c r="D52" s="4" t="s">
        <v>18</v>
      </c>
      <c r="E52" s="4">
        <v>79999</v>
      </c>
      <c r="F52" s="4">
        <v>10</v>
      </c>
      <c r="G52" s="5">
        <f t="shared" si="0"/>
        <v>799990</v>
      </c>
    </row>
    <row r="53" spans="1:7" ht="15.5" x14ac:dyDescent="0.35">
      <c r="A53" s="6">
        <v>45080</v>
      </c>
      <c r="B53" s="7" t="s">
        <v>23</v>
      </c>
      <c r="C53" s="7" t="s">
        <v>22</v>
      </c>
      <c r="D53" s="7" t="s">
        <v>18</v>
      </c>
      <c r="E53" s="7">
        <v>1999</v>
      </c>
      <c r="F53" s="7">
        <v>37</v>
      </c>
      <c r="G53" s="8">
        <f t="shared" si="0"/>
        <v>73963</v>
      </c>
    </row>
    <row r="54" spans="1:7" ht="15.5" x14ac:dyDescent="0.35">
      <c r="A54" s="3">
        <v>45083</v>
      </c>
      <c r="B54" s="4" t="s">
        <v>19</v>
      </c>
      <c r="C54" s="4" t="s">
        <v>20</v>
      </c>
      <c r="D54" s="4" t="s">
        <v>14</v>
      </c>
      <c r="E54" s="4">
        <v>89999</v>
      </c>
      <c r="F54" s="4">
        <v>29</v>
      </c>
      <c r="G54" s="5">
        <f t="shared" si="0"/>
        <v>2609971</v>
      </c>
    </row>
    <row r="55" spans="1:7" ht="15.5" x14ac:dyDescent="0.35">
      <c r="A55" s="6">
        <v>45086</v>
      </c>
      <c r="B55" s="7" t="s">
        <v>10</v>
      </c>
      <c r="C55" s="7" t="s">
        <v>16</v>
      </c>
      <c r="D55" s="7" t="s">
        <v>18</v>
      </c>
      <c r="E55" s="7">
        <v>78500</v>
      </c>
      <c r="F55" s="7">
        <v>44</v>
      </c>
      <c r="G55" s="8">
        <f t="shared" si="0"/>
        <v>3454000</v>
      </c>
    </row>
    <row r="56" spans="1:7" ht="15.5" x14ac:dyDescent="0.35">
      <c r="A56" s="3">
        <v>45089</v>
      </c>
      <c r="B56" s="4" t="s">
        <v>19</v>
      </c>
      <c r="C56" s="4" t="s">
        <v>20</v>
      </c>
      <c r="D56" s="4" t="s">
        <v>11</v>
      </c>
      <c r="E56" s="4">
        <v>3990</v>
      </c>
      <c r="F56" s="4">
        <v>31</v>
      </c>
      <c r="G56" s="5">
        <f t="shared" si="0"/>
        <v>123690</v>
      </c>
    </row>
    <row r="57" spans="1:7" ht="15.5" x14ac:dyDescent="0.35">
      <c r="A57" s="6">
        <v>45092</v>
      </c>
      <c r="B57" s="7" t="s">
        <v>12</v>
      </c>
      <c r="C57" s="7" t="s">
        <v>20</v>
      </c>
      <c r="D57" s="7" t="s">
        <v>18</v>
      </c>
      <c r="E57" s="7">
        <v>52000</v>
      </c>
      <c r="F57" s="7">
        <v>29</v>
      </c>
      <c r="G57" s="8">
        <f t="shared" si="0"/>
        <v>1508000</v>
      </c>
    </row>
    <row r="58" spans="1:7" ht="15.5" x14ac:dyDescent="0.35">
      <c r="A58" s="3">
        <v>45095</v>
      </c>
      <c r="B58" s="4" t="s">
        <v>7</v>
      </c>
      <c r="C58" s="4" t="s">
        <v>16</v>
      </c>
      <c r="D58" s="4" t="s">
        <v>18</v>
      </c>
      <c r="E58" s="4">
        <v>13999</v>
      </c>
      <c r="F58" s="4">
        <v>34</v>
      </c>
      <c r="G58" s="5">
        <f t="shared" si="0"/>
        <v>475966</v>
      </c>
    </row>
    <row r="59" spans="1:7" ht="15.5" x14ac:dyDescent="0.35">
      <c r="A59" s="6">
        <v>45098</v>
      </c>
      <c r="B59" s="7" t="s">
        <v>10</v>
      </c>
      <c r="C59" s="7" t="s">
        <v>17</v>
      </c>
      <c r="D59" s="7" t="s">
        <v>11</v>
      </c>
      <c r="E59" s="7">
        <v>120</v>
      </c>
      <c r="F59" s="7">
        <v>29</v>
      </c>
      <c r="G59" s="8">
        <f t="shared" si="0"/>
        <v>3480</v>
      </c>
    </row>
    <row r="60" spans="1:7" ht="15.5" x14ac:dyDescent="0.35">
      <c r="A60" s="3">
        <v>45101</v>
      </c>
      <c r="B60" s="4" t="s">
        <v>19</v>
      </c>
      <c r="C60" s="4" t="s">
        <v>13</v>
      </c>
      <c r="D60" s="4" t="s">
        <v>11</v>
      </c>
      <c r="E60" s="4">
        <v>23999</v>
      </c>
      <c r="F60" s="4">
        <v>25</v>
      </c>
      <c r="G60" s="5">
        <f t="shared" si="0"/>
        <v>599975</v>
      </c>
    </row>
    <row r="61" spans="1:7" ht="15.5" x14ac:dyDescent="0.35">
      <c r="A61" s="6">
        <v>45104</v>
      </c>
      <c r="B61" s="7" t="s">
        <v>19</v>
      </c>
      <c r="C61" s="7" t="s">
        <v>16</v>
      </c>
      <c r="D61" s="7" t="s">
        <v>18</v>
      </c>
      <c r="E61" s="7">
        <v>45000</v>
      </c>
      <c r="F61" s="7">
        <v>31</v>
      </c>
      <c r="G61" s="8">
        <f t="shared" si="0"/>
        <v>1395000</v>
      </c>
    </row>
    <row r="62" spans="1:7" ht="15.5" x14ac:dyDescent="0.35">
      <c r="A62" s="3">
        <v>45107</v>
      </c>
      <c r="B62" s="4" t="s">
        <v>10</v>
      </c>
      <c r="C62" s="4" t="s">
        <v>22</v>
      </c>
      <c r="D62" s="4" t="s">
        <v>11</v>
      </c>
      <c r="E62" s="4">
        <v>450</v>
      </c>
      <c r="F62" s="4">
        <v>16</v>
      </c>
      <c r="G62" s="5">
        <f t="shared" si="0"/>
        <v>7200</v>
      </c>
    </row>
    <row r="63" spans="1:7" ht="15.5" x14ac:dyDescent="0.35">
      <c r="A63" s="6">
        <v>45110</v>
      </c>
      <c r="B63" s="7" t="s">
        <v>15</v>
      </c>
      <c r="C63" s="7" t="s">
        <v>17</v>
      </c>
      <c r="D63" s="7" t="s">
        <v>18</v>
      </c>
      <c r="E63" s="7">
        <v>65000</v>
      </c>
      <c r="F63" s="7">
        <v>48</v>
      </c>
      <c r="G63" s="8">
        <f t="shared" si="0"/>
        <v>3120000</v>
      </c>
    </row>
    <row r="64" spans="1:7" ht="15.5" x14ac:dyDescent="0.35">
      <c r="A64" s="3">
        <v>45113</v>
      </c>
      <c r="B64" s="4" t="s">
        <v>12</v>
      </c>
      <c r="C64" s="4" t="s">
        <v>16</v>
      </c>
      <c r="D64" s="4" t="s">
        <v>21</v>
      </c>
      <c r="E64" s="4">
        <v>35600</v>
      </c>
      <c r="F64" s="4">
        <v>22</v>
      </c>
      <c r="G64" s="5">
        <f t="shared" si="0"/>
        <v>783200</v>
      </c>
    </row>
    <row r="65" spans="1:7" ht="15.5" x14ac:dyDescent="0.35">
      <c r="A65" s="6">
        <v>45116</v>
      </c>
      <c r="B65" s="7" t="s">
        <v>23</v>
      </c>
      <c r="C65" s="7" t="s">
        <v>22</v>
      </c>
      <c r="D65" s="7" t="s">
        <v>14</v>
      </c>
      <c r="E65" s="7">
        <v>699</v>
      </c>
      <c r="F65" s="7">
        <v>6</v>
      </c>
      <c r="G65" s="8">
        <f t="shared" si="0"/>
        <v>4194</v>
      </c>
    </row>
    <row r="66" spans="1:7" ht="15.5" x14ac:dyDescent="0.35">
      <c r="A66" s="3">
        <v>45119</v>
      </c>
      <c r="B66" s="4" t="s">
        <v>10</v>
      </c>
      <c r="C66" s="4" t="s">
        <v>22</v>
      </c>
      <c r="D66" s="4" t="s">
        <v>11</v>
      </c>
      <c r="E66" s="4">
        <v>990</v>
      </c>
      <c r="F66" s="4">
        <v>12</v>
      </c>
      <c r="G66" s="5">
        <f t="shared" si="0"/>
        <v>11880</v>
      </c>
    </row>
    <row r="67" spans="1:7" ht="15.5" x14ac:dyDescent="0.35">
      <c r="A67" s="6">
        <v>45122</v>
      </c>
      <c r="B67" s="7" t="s">
        <v>23</v>
      </c>
      <c r="C67" s="7" t="s">
        <v>16</v>
      </c>
      <c r="D67" s="7" t="s">
        <v>9</v>
      </c>
      <c r="E67" s="7">
        <v>450</v>
      </c>
      <c r="F67" s="7">
        <v>44</v>
      </c>
      <c r="G67" s="8">
        <f t="shared" ref="G67:G130" si="1">E67*F67</f>
        <v>19800</v>
      </c>
    </row>
    <row r="68" spans="1:7" ht="15.5" x14ac:dyDescent="0.35">
      <c r="A68" s="3">
        <v>45125</v>
      </c>
      <c r="B68" s="4" t="s">
        <v>23</v>
      </c>
      <c r="C68" s="4" t="s">
        <v>22</v>
      </c>
      <c r="D68" s="4" t="s">
        <v>14</v>
      </c>
      <c r="E68" s="4">
        <v>1499</v>
      </c>
      <c r="F68" s="4">
        <v>15</v>
      </c>
      <c r="G68" s="5">
        <f t="shared" si="1"/>
        <v>22485</v>
      </c>
    </row>
    <row r="69" spans="1:7" ht="15.5" x14ac:dyDescent="0.35">
      <c r="A69" s="6">
        <v>45128</v>
      </c>
      <c r="B69" s="7" t="s">
        <v>7</v>
      </c>
      <c r="C69" s="7" t="s">
        <v>8</v>
      </c>
      <c r="D69" s="7" t="s">
        <v>21</v>
      </c>
      <c r="E69" s="7">
        <v>499</v>
      </c>
      <c r="F69" s="7">
        <v>26</v>
      </c>
      <c r="G69" s="8">
        <f t="shared" si="1"/>
        <v>12974</v>
      </c>
    </row>
    <row r="70" spans="1:7" ht="15.5" x14ac:dyDescent="0.35">
      <c r="A70" s="3">
        <v>45131</v>
      </c>
      <c r="B70" s="4" t="s">
        <v>12</v>
      </c>
      <c r="C70" s="4" t="s">
        <v>16</v>
      </c>
      <c r="D70" s="4" t="s">
        <v>21</v>
      </c>
      <c r="E70" s="4">
        <v>44000</v>
      </c>
      <c r="F70" s="4">
        <v>16</v>
      </c>
      <c r="G70" s="5">
        <f t="shared" si="1"/>
        <v>704000</v>
      </c>
    </row>
    <row r="71" spans="1:7" ht="15.5" x14ac:dyDescent="0.35">
      <c r="A71" s="6">
        <v>45134</v>
      </c>
      <c r="B71" s="7" t="s">
        <v>7</v>
      </c>
      <c r="C71" s="7" t="s">
        <v>8</v>
      </c>
      <c r="D71" s="7" t="s">
        <v>18</v>
      </c>
      <c r="E71" s="7">
        <v>5599</v>
      </c>
      <c r="F71" s="7">
        <v>35</v>
      </c>
      <c r="G71" s="8">
        <f t="shared" si="1"/>
        <v>195965</v>
      </c>
    </row>
    <row r="72" spans="1:7" ht="15.5" x14ac:dyDescent="0.35">
      <c r="A72" s="3">
        <v>45137</v>
      </c>
      <c r="B72" s="4" t="s">
        <v>15</v>
      </c>
      <c r="C72" s="4" t="s">
        <v>16</v>
      </c>
      <c r="D72" s="4" t="s">
        <v>9</v>
      </c>
      <c r="E72" s="4">
        <v>54100</v>
      </c>
      <c r="F72" s="4">
        <v>36</v>
      </c>
      <c r="G72" s="5">
        <f t="shared" si="1"/>
        <v>1947600</v>
      </c>
    </row>
    <row r="73" spans="1:7" ht="15.5" x14ac:dyDescent="0.35">
      <c r="A73" s="6">
        <v>45140</v>
      </c>
      <c r="B73" s="7" t="s">
        <v>7</v>
      </c>
      <c r="C73" s="7" t="s">
        <v>8</v>
      </c>
      <c r="D73" s="7" t="s">
        <v>14</v>
      </c>
      <c r="E73" s="7">
        <v>2550</v>
      </c>
      <c r="F73" s="7">
        <v>20</v>
      </c>
      <c r="G73" s="8">
        <f t="shared" si="1"/>
        <v>51000</v>
      </c>
    </row>
    <row r="74" spans="1:7" ht="15.5" x14ac:dyDescent="0.35">
      <c r="A74" s="3">
        <v>45143</v>
      </c>
      <c r="B74" s="4" t="s">
        <v>10</v>
      </c>
      <c r="C74" s="4" t="s">
        <v>16</v>
      </c>
      <c r="D74" s="4" t="s">
        <v>14</v>
      </c>
      <c r="E74" s="4">
        <v>1450</v>
      </c>
      <c r="F74" s="4">
        <v>47</v>
      </c>
      <c r="G74" s="5">
        <f t="shared" si="1"/>
        <v>68150</v>
      </c>
    </row>
    <row r="75" spans="1:7" ht="15.5" x14ac:dyDescent="0.35">
      <c r="A75" s="6">
        <v>45146</v>
      </c>
      <c r="B75" s="7" t="s">
        <v>23</v>
      </c>
      <c r="C75" s="7" t="s">
        <v>22</v>
      </c>
      <c r="D75" s="7" t="s">
        <v>18</v>
      </c>
      <c r="E75" s="7">
        <v>2900</v>
      </c>
      <c r="F75" s="7">
        <v>6</v>
      </c>
      <c r="G75" s="8">
        <f t="shared" si="1"/>
        <v>17400</v>
      </c>
    </row>
    <row r="76" spans="1:7" ht="15.5" x14ac:dyDescent="0.35">
      <c r="A76" s="3">
        <v>45149</v>
      </c>
      <c r="B76" s="4" t="s">
        <v>15</v>
      </c>
      <c r="C76" s="4" t="s">
        <v>16</v>
      </c>
      <c r="D76" s="4" t="s">
        <v>21</v>
      </c>
      <c r="E76" s="4">
        <v>65200</v>
      </c>
      <c r="F76" s="4">
        <v>6</v>
      </c>
      <c r="G76" s="5">
        <f t="shared" si="1"/>
        <v>391200</v>
      </c>
    </row>
    <row r="77" spans="1:7" ht="15.5" x14ac:dyDescent="0.35">
      <c r="A77" s="6">
        <v>45152</v>
      </c>
      <c r="B77" s="7" t="s">
        <v>10</v>
      </c>
      <c r="C77" s="7" t="s">
        <v>20</v>
      </c>
      <c r="D77" s="7" t="s">
        <v>21</v>
      </c>
      <c r="E77" s="7">
        <v>52000</v>
      </c>
      <c r="F77" s="7">
        <v>41</v>
      </c>
      <c r="G77" s="8">
        <f t="shared" si="1"/>
        <v>2132000</v>
      </c>
    </row>
    <row r="78" spans="1:7" ht="15.5" x14ac:dyDescent="0.35">
      <c r="A78" s="3">
        <v>45155</v>
      </c>
      <c r="B78" s="4" t="s">
        <v>12</v>
      </c>
      <c r="C78" s="4" t="s">
        <v>16</v>
      </c>
      <c r="D78" s="4" t="s">
        <v>11</v>
      </c>
      <c r="E78" s="4">
        <v>59000</v>
      </c>
      <c r="F78" s="4">
        <v>29</v>
      </c>
      <c r="G78" s="5">
        <f t="shared" si="1"/>
        <v>1711000</v>
      </c>
    </row>
    <row r="79" spans="1:7" ht="15.5" x14ac:dyDescent="0.35">
      <c r="A79" s="6">
        <v>45158</v>
      </c>
      <c r="B79" s="7" t="s">
        <v>19</v>
      </c>
      <c r="C79" s="7" t="s">
        <v>13</v>
      </c>
      <c r="D79" s="7" t="s">
        <v>21</v>
      </c>
      <c r="E79" s="7">
        <v>7999</v>
      </c>
      <c r="F79" s="7">
        <v>31</v>
      </c>
      <c r="G79" s="8">
        <f t="shared" si="1"/>
        <v>247969</v>
      </c>
    </row>
    <row r="80" spans="1:7" ht="15.5" x14ac:dyDescent="0.35">
      <c r="A80" s="3">
        <v>45161</v>
      </c>
      <c r="B80" s="4" t="s">
        <v>10</v>
      </c>
      <c r="C80" s="4" t="s">
        <v>17</v>
      </c>
      <c r="D80" s="4" t="s">
        <v>11</v>
      </c>
      <c r="E80" s="4">
        <v>45000</v>
      </c>
      <c r="F80" s="4">
        <v>34</v>
      </c>
      <c r="G80" s="5">
        <f t="shared" si="1"/>
        <v>1530000</v>
      </c>
    </row>
    <row r="81" spans="1:7" ht="15.5" x14ac:dyDescent="0.35">
      <c r="A81" s="6">
        <v>45164</v>
      </c>
      <c r="B81" s="7" t="s">
        <v>23</v>
      </c>
      <c r="C81" s="7" t="s">
        <v>22</v>
      </c>
      <c r="D81" s="7" t="s">
        <v>9</v>
      </c>
      <c r="E81" s="7">
        <v>990</v>
      </c>
      <c r="F81" s="7">
        <v>43</v>
      </c>
      <c r="G81" s="8">
        <f t="shared" si="1"/>
        <v>42570</v>
      </c>
    </row>
    <row r="82" spans="1:7" ht="15.5" x14ac:dyDescent="0.35">
      <c r="A82" s="3">
        <v>45167</v>
      </c>
      <c r="B82" s="4" t="s">
        <v>19</v>
      </c>
      <c r="C82" s="4" t="s">
        <v>20</v>
      </c>
      <c r="D82" s="4" t="s">
        <v>9</v>
      </c>
      <c r="E82" s="4">
        <v>11999</v>
      </c>
      <c r="F82" s="4">
        <v>37</v>
      </c>
      <c r="G82" s="5">
        <f t="shared" si="1"/>
        <v>443963</v>
      </c>
    </row>
    <row r="83" spans="1:7" ht="15.5" x14ac:dyDescent="0.35">
      <c r="A83" s="6">
        <v>45170</v>
      </c>
      <c r="B83" s="7" t="s">
        <v>19</v>
      </c>
      <c r="C83" s="7" t="s">
        <v>13</v>
      </c>
      <c r="D83" s="7" t="s">
        <v>9</v>
      </c>
      <c r="E83" s="7">
        <v>960</v>
      </c>
      <c r="F83" s="7">
        <v>7</v>
      </c>
      <c r="G83" s="8">
        <f t="shared" si="1"/>
        <v>6720</v>
      </c>
    </row>
    <row r="84" spans="1:7" ht="15.5" x14ac:dyDescent="0.35">
      <c r="A84" s="3">
        <v>45173</v>
      </c>
      <c r="B84" s="4" t="s">
        <v>10</v>
      </c>
      <c r="C84" s="4" t="s">
        <v>8</v>
      </c>
      <c r="D84" s="4" t="s">
        <v>14</v>
      </c>
      <c r="E84" s="4">
        <v>1450</v>
      </c>
      <c r="F84" s="4">
        <v>19</v>
      </c>
      <c r="G84" s="5">
        <f t="shared" si="1"/>
        <v>27550</v>
      </c>
    </row>
    <row r="85" spans="1:7" ht="15.5" x14ac:dyDescent="0.35">
      <c r="A85" s="6">
        <v>45176</v>
      </c>
      <c r="B85" s="7" t="s">
        <v>12</v>
      </c>
      <c r="C85" s="7" t="s">
        <v>16</v>
      </c>
      <c r="D85" s="7" t="s">
        <v>11</v>
      </c>
      <c r="E85" s="7">
        <v>45000</v>
      </c>
      <c r="F85" s="7">
        <v>47</v>
      </c>
      <c r="G85" s="8">
        <f t="shared" si="1"/>
        <v>2115000</v>
      </c>
    </row>
    <row r="86" spans="1:7" ht="15.5" x14ac:dyDescent="0.35">
      <c r="A86" s="3">
        <v>45179</v>
      </c>
      <c r="B86" s="4" t="s">
        <v>10</v>
      </c>
      <c r="C86" s="4" t="s">
        <v>22</v>
      </c>
      <c r="D86" s="4" t="s">
        <v>11</v>
      </c>
      <c r="E86" s="4">
        <v>1499</v>
      </c>
      <c r="F86" s="4">
        <v>37</v>
      </c>
      <c r="G86" s="5">
        <f t="shared" si="1"/>
        <v>55463</v>
      </c>
    </row>
    <row r="87" spans="1:7" ht="15.5" x14ac:dyDescent="0.35">
      <c r="A87" s="6">
        <v>45182</v>
      </c>
      <c r="B87" s="7" t="s">
        <v>19</v>
      </c>
      <c r="C87" s="7" t="s">
        <v>20</v>
      </c>
      <c r="D87" s="7" t="s">
        <v>14</v>
      </c>
      <c r="E87" s="7">
        <v>79999</v>
      </c>
      <c r="F87" s="7">
        <v>4</v>
      </c>
      <c r="G87" s="8">
        <f t="shared" si="1"/>
        <v>319996</v>
      </c>
    </row>
    <row r="88" spans="1:7" ht="15.5" x14ac:dyDescent="0.35">
      <c r="A88" s="3">
        <v>45185</v>
      </c>
      <c r="B88" s="4" t="s">
        <v>15</v>
      </c>
      <c r="C88" s="4" t="s">
        <v>16</v>
      </c>
      <c r="D88" s="4" t="s">
        <v>21</v>
      </c>
      <c r="E88" s="4">
        <v>999</v>
      </c>
      <c r="F88" s="4">
        <v>45</v>
      </c>
      <c r="G88" s="5">
        <f t="shared" si="1"/>
        <v>44955</v>
      </c>
    </row>
    <row r="89" spans="1:7" ht="15.5" x14ac:dyDescent="0.35">
      <c r="A89" s="6">
        <v>45188</v>
      </c>
      <c r="B89" s="7" t="s">
        <v>10</v>
      </c>
      <c r="C89" s="7" t="s">
        <v>20</v>
      </c>
      <c r="D89" s="7" t="s">
        <v>9</v>
      </c>
      <c r="E89" s="7">
        <v>52000</v>
      </c>
      <c r="F89" s="7">
        <v>15</v>
      </c>
      <c r="G89" s="8">
        <f t="shared" si="1"/>
        <v>780000</v>
      </c>
    </row>
    <row r="90" spans="1:7" ht="15.5" x14ac:dyDescent="0.35">
      <c r="A90" s="3">
        <v>45191</v>
      </c>
      <c r="B90" s="4" t="s">
        <v>12</v>
      </c>
      <c r="C90" s="4" t="s">
        <v>16</v>
      </c>
      <c r="D90" s="4" t="s">
        <v>18</v>
      </c>
      <c r="E90" s="4">
        <v>52000</v>
      </c>
      <c r="F90" s="4">
        <v>39</v>
      </c>
      <c r="G90" s="5">
        <f t="shared" si="1"/>
        <v>2028000</v>
      </c>
    </row>
    <row r="91" spans="1:7" ht="15.5" x14ac:dyDescent="0.35">
      <c r="A91" s="6">
        <v>45194</v>
      </c>
      <c r="B91" s="7" t="s">
        <v>19</v>
      </c>
      <c r="C91" s="7" t="s">
        <v>13</v>
      </c>
      <c r="D91" s="7" t="s">
        <v>14</v>
      </c>
      <c r="E91" s="7">
        <v>960</v>
      </c>
      <c r="F91" s="7">
        <v>33</v>
      </c>
      <c r="G91" s="8">
        <f t="shared" si="1"/>
        <v>31680</v>
      </c>
    </row>
    <row r="92" spans="1:7" ht="15.5" x14ac:dyDescent="0.35">
      <c r="A92" s="3">
        <v>45197</v>
      </c>
      <c r="B92" s="4" t="s">
        <v>19</v>
      </c>
      <c r="C92" s="4" t="s">
        <v>16</v>
      </c>
      <c r="D92" s="4" t="s">
        <v>18</v>
      </c>
      <c r="E92" s="4">
        <v>19500</v>
      </c>
      <c r="F92" s="4">
        <v>45</v>
      </c>
      <c r="G92" s="5">
        <f t="shared" si="1"/>
        <v>877500</v>
      </c>
    </row>
    <row r="93" spans="1:7" ht="15.5" x14ac:dyDescent="0.35">
      <c r="A93" s="6">
        <v>45200</v>
      </c>
      <c r="B93" s="7" t="s">
        <v>19</v>
      </c>
      <c r="C93" s="7" t="s">
        <v>20</v>
      </c>
      <c r="D93" s="7" t="s">
        <v>18</v>
      </c>
      <c r="E93" s="7">
        <v>2999</v>
      </c>
      <c r="F93" s="7">
        <v>33</v>
      </c>
      <c r="G93" s="8">
        <f t="shared" si="1"/>
        <v>98967</v>
      </c>
    </row>
    <row r="94" spans="1:7" ht="15.5" x14ac:dyDescent="0.35">
      <c r="A94" s="3">
        <v>45203</v>
      </c>
      <c r="B94" s="4" t="s">
        <v>10</v>
      </c>
      <c r="C94" s="4" t="s">
        <v>13</v>
      </c>
      <c r="D94" s="4" t="s">
        <v>21</v>
      </c>
      <c r="E94" s="4">
        <v>1250</v>
      </c>
      <c r="F94" s="4">
        <v>14</v>
      </c>
      <c r="G94" s="5">
        <f t="shared" si="1"/>
        <v>17500</v>
      </c>
    </row>
    <row r="95" spans="1:7" ht="15.5" x14ac:dyDescent="0.35">
      <c r="A95" s="6">
        <v>45206</v>
      </c>
      <c r="B95" s="7" t="s">
        <v>10</v>
      </c>
      <c r="C95" s="7" t="s">
        <v>17</v>
      </c>
      <c r="D95" s="7" t="s">
        <v>9</v>
      </c>
      <c r="E95" s="7">
        <v>120</v>
      </c>
      <c r="F95" s="7">
        <v>41</v>
      </c>
      <c r="G95" s="8">
        <f t="shared" si="1"/>
        <v>4920</v>
      </c>
    </row>
    <row r="96" spans="1:7" ht="15.5" x14ac:dyDescent="0.35">
      <c r="A96" s="3">
        <v>45209</v>
      </c>
      <c r="B96" s="4" t="s">
        <v>12</v>
      </c>
      <c r="C96" s="4" t="s">
        <v>8</v>
      </c>
      <c r="D96" s="4" t="s">
        <v>18</v>
      </c>
      <c r="E96" s="4">
        <v>1450</v>
      </c>
      <c r="F96" s="4">
        <v>22</v>
      </c>
      <c r="G96" s="5">
        <f t="shared" si="1"/>
        <v>31900</v>
      </c>
    </row>
    <row r="97" spans="1:7" ht="15.5" x14ac:dyDescent="0.35">
      <c r="A97" s="6">
        <v>45212</v>
      </c>
      <c r="B97" s="7" t="s">
        <v>19</v>
      </c>
      <c r="C97" s="7" t="s">
        <v>20</v>
      </c>
      <c r="D97" s="7" t="s">
        <v>9</v>
      </c>
      <c r="E97" s="7">
        <v>89999</v>
      </c>
      <c r="F97" s="7">
        <v>15</v>
      </c>
      <c r="G97" s="8">
        <f t="shared" si="1"/>
        <v>1349985</v>
      </c>
    </row>
    <row r="98" spans="1:7" ht="15.5" x14ac:dyDescent="0.35">
      <c r="A98" s="3">
        <v>45215</v>
      </c>
      <c r="B98" s="4" t="s">
        <v>23</v>
      </c>
      <c r="C98" s="4" t="s">
        <v>16</v>
      </c>
      <c r="D98" s="4" t="s">
        <v>14</v>
      </c>
      <c r="E98" s="4">
        <v>1999</v>
      </c>
      <c r="F98" s="4">
        <v>48</v>
      </c>
      <c r="G98" s="5">
        <f t="shared" si="1"/>
        <v>95952</v>
      </c>
    </row>
    <row r="99" spans="1:7" ht="15.5" x14ac:dyDescent="0.35">
      <c r="A99" s="6">
        <v>45218</v>
      </c>
      <c r="B99" s="7" t="s">
        <v>23</v>
      </c>
      <c r="C99" s="7" t="s">
        <v>22</v>
      </c>
      <c r="D99" s="7" t="s">
        <v>18</v>
      </c>
      <c r="E99" s="7">
        <v>2900</v>
      </c>
      <c r="F99" s="7">
        <v>49</v>
      </c>
      <c r="G99" s="8">
        <f t="shared" si="1"/>
        <v>142100</v>
      </c>
    </row>
    <row r="100" spans="1:7" ht="15.5" x14ac:dyDescent="0.35">
      <c r="A100" s="3">
        <v>45221</v>
      </c>
      <c r="B100" s="4" t="s">
        <v>19</v>
      </c>
      <c r="C100" s="4" t="s">
        <v>20</v>
      </c>
      <c r="D100" s="4" t="s">
        <v>21</v>
      </c>
      <c r="E100" s="4">
        <v>700</v>
      </c>
      <c r="F100" s="4">
        <v>50</v>
      </c>
      <c r="G100" s="5">
        <f t="shared" si="1"/>
        <v>35000</v>
      </c>
    </row>
    <row r="101" spans="1:7" ht="15.5" x14ac:dyDescent="0.35">
      <c r="A101" s="6">
        <v>45224</v>
      </c>
      <c r="B101" s="7" t="s">
        <v>15</v>
      </c>
      <c r="C101" s="7" t="s">
        <v>17</v>
      </c>
      <c r="D101" s="7" t="s">
        <v>18</v>
      </c>
      <c r="E101" s="7">
        <v>200</v>
      </c>
      <c r="F101" s="7">
        <v>41</v>
      </c>
      <c r="G101" s="8">
        <f t="shared" si="1"/>
        <v>8200</v>
      </c>
    </row>
    <row r="102" spans="1:7" ht="15.5" x14ac:dyDescent="0.35">
      <c r="A102" s="3">
        <v>45227</v>
      </c>
      <c r="B102" s="4" t="s">
        <v>12</v>
      </c>
      <c r="C102" s="4" t="s">
        <v>16</v>
      </c>
      <c r="D102" s="4" t="s">
        <v>11</v>
      </c>
      <c r="E102" s="4">
        <v>49000</v>
      </c>
      <c r="F102" s="4">
        <v>29</v>
      </c>
      <c r="G102" s="5">
        <f t="shared" si="1"/>
        <v>1421000</v>
      </c>
    </row>
    <row r="103" spans="1:7" ht="15.5" x14ac:dyDescent="0.35">
      <c r="A103" s="6">
        <v>45230</v>
      </c>
      <c r="B103" s="7" t="s">
        <v>7</v>
      </c>
      <c r="C103" s="7" t="s">
        <v>8</v>
      </c>
      <c r="D103" s="7" t="s">
        <v>21</v>
      </c>
      <c r="E103" s="7">
        <v>5599</v>
      </c>
      <c r="F103" s="7">
        <v>36</v>
      </c>
      <c r="G103" s="8">
        <f t="shared" si="1"/>
        <v>201564</v>
      </c>
    </row>
    <row r="104" spans="1:7" ht="15.5" x14ac:dyDescent="0.35">
      <c r="A104" s="3">
        <v>45233</v>
      </c>
      <c r="B104" s="4" t="s">
        <v>15</v>
      </c>
      <c r="C104" s="4" t="s">
        <v>17</v>
      </c>
      <c r="D104" s="4" t="s">
        <v>18</v>
      </c>
      <c r="E104" s="4">
        <v>13500</v>
      </c>
      <c r="F104" s="4">
        <v>39</v>
      </c>
      <c r="G104" s="5">
        <f t="shared" si="1"/>
        <v>526500</v>
      </c>
    </row>
    <row r="105" spans="1:7" ht="15.5" x14ac:dyDescent="0.35">
      <c r="A105" s="6">
        <v>45236</v>
      </c>
      <c r="B105" s="7" t="s">
        <v>12</v>
      </c>
      <c r="C105" s="7" t="s">
        <v>20</v>
      </c>
      <c r="D105" s="7" t="s">
        <v>18</v>
      </c>
      <c r="E105" s="7">
        <v>79999</v>
      </c>
      <c r="F105" s="7">
        <v>9</v>
      </c>
      <c r="G105" s="8">
        <f t="shared" si="1"/>
        <v>719991</v>
      </c>
    </row>
    <row r="106" spans="1:7" ht="15.5" x14ac:dyDescent="0.35">
      <c r="A106" s="3">
        <v>45239</v>
      </c>
      <c r="B106" s="4" t="s">
        <v>19</v>
      </c>
      <c r="C106" s="4" t="s">
        <v>16</v>
      </c>
      <c r="D106" s="4" t="s">
        <v>14</v>
      </c>
      <c r="E106" s="4">
        <v>75200</v>
      </c>
      <c r="F106" s="4">
        <v>38</v>
      </c>
      <c r="G106" s="5">
        <f t="shared" si="1"/>
        <v>2857600</v>
      </c>
    </row>
    <row r="107" spans="1:7" ht="15.5" x14ac:dyDescent="0.35">
      <c r="A107" s="6">
        <v>45242</v>
      </c>
      <c r="B107" s="7" t="s">
        <v>19</v>
      </c>
      <c r="C107" s="7" t="s">
        <v>13</v>
      </c>
      <c r="D107" s="7" t="s">
        <v>9</v>
      </c>
      <c r="E107" s="7">
        <v>550</v>
      </c>
      <c r="F107" s="7">
        <v>25</v>
      </c>
      <c r="G107" s="8">
        <f t="shared" si="1"/>
        <v>13750</v>
      </c>
    </row>
    <row r="108" spans="1:7" ht="15.5" x14ac:dyDescent="0.35">
      <c r="A108" s="3">
        <v>45245</v>
      </c>
      <c r="B108" s="4" t="s">
        <v>7</v>
      </c>
      <c r="C108" s="4" t="s">
        <v>8</v>
      </c>
      <c r="D108" s="4" t="s">
        <v>9</v>
      </c>
      <c r="E108" s="4">
        <v>499</v>
      </c>
      <c r="F108" s="4">
        <v>50</v>
      </c>
      <c r="G108" s="5">
        <f t="shared" si="1"/>
        <v>24950</v>
      </c>
    </row>
    <row r="109" spans="1:7" ht="15.5" x14ac:dyDescent="0.35">
      <c r="A109" s="6">
        <v>45248</v>
      </c>
      <c r="B109" s="7" t="s">
        <v>7</v>
      </c>
      <c r="C109" s="7" t="s">
        <v>8</v>
      </c>
      <c r="D109" s="7" t="s">
        <v>11</v>
      </c>
      <c r="E109" s="7">
        <v>5599</v>
      </c>
      <c r="F109" s="7">
        <v>33</v>
      </c>
      <c r="G109" s="8">
        <f t="shared" si="1"/>
        <v>184767</v>
      </c>
    </row>
    <row r="110" spans="1:7" ht="15.5" x14ac:dyDescent="0.35">
      <c r="A110" s="3">
        <v>45251</v>
      </c>
      <c r="B110" s="4" t="s">
        <v>12</v>
      </c>
      <c r="C110" s="4" t="s">
        <v>13</v>
      </c>
      <c r="D110" s="4" t="s">
        <v>14</v>
      </c>
      <c r="E110" s="4">
        <v>1450</v>
      </c>
      <c r="F110" s="4">
        <v>44</v>
      </c>
      <c r="G110" s="5">
        <f t="shared" si="1"/>
        <v>63800</v>
      </c>
    </row>
    <row r="111" spans="1:7" ht="15.5" x14ac:dyDescent="0.35">
      <c r="A111" s="6">
        <v>45254</v>
      </c>
      <c r="B111" s="7" t="s">
        <v>15</v>
      </c>
      <c r="C111" s="7" t="s">
        <v>17</v>
      </c>
      <c r="D111" s="7" t="s">
        <v>9</v>
      </c>
      <c r="E111" s="7">
        <v>999</v>
      </c>
      <c r="F111" s="7">
        <v>31</v>
      </c>
      <c r="G111" s="8">
        <f t="shared" si="1"/>
        <v>30969</v>
      </c>
    </row>
    <row r="112" spans="1:7" ht="15.5" x14ac:dyDescent="0.35">
      <c r="A112" s="3">
        <v>45257</v>
      </c>
      <c r="B112" s="4" t="s">
        <v>15</v>
      </c>
      <c r="C112" s="4" t="s">
        <v>17</v>
      </c>
      <c r="D112" s="4" t="s">
        <v>18</v>
      </c>
      <c r="E112" s="4">
        <v>100</v>
      </c>
      <c r="F112" s="4">
        <v>11</v>
      </c>
      <c r="G112" s="5">
        <f t="shared" si="1"/>
        <v>1100</v>
      </c>
    </row>
    <row r="113" spans="1:7" ht="15.5" x14ac:dyDescent="0.35">
      <c r="A113" s="6">
        <v>45260</v>
      </c>
      <c r="B113" s="7" t="s">
        <v>12</v>
      </c>
      <c r="C113" s="7" t="s">
        <v>8</v>
      </c>
      <c r="D113" s="7" t="s">
        <v>18</v>
      </c>
      <c r="E113" s="7">
        <v>2550</v>
      </c>
      <c r="F113" s="7">
        <v>48</v>
      </c>
      <c r="G113" s="8">
        <f t="shared" si="1"/>
        <v>122400</v>
      </c>
    </row>
    <row r="114" spans="1:7" ht="15.5" x14ac:dyDescent="0.35">
      <c r="A114" s="3">
        <v>45263</v>
      </c>
      <c r="B114" s="4" t="s">
        <v>19</v>
      </c>
      <c r="C114" s="4" t="s">
        <v>20</v>
      </c>
      <c r="D114" s="4" t="s">
        <v>18</v>
      </c>
      <c r="E114" s="4">
        <v>33000</v>
      </c>
      <c r="F114" s="4">
        <v>26</v>
      </c>
      <c r="G114" s="5">
        <f t="shared" si="1"/>
        <v>858000</v>
      </c>
    </row>
    <row r="115" spans="1:7" ht="15.5" x14ac:dyDescent="0.35">
      <c r="A115" s="6">
        <v>45266</v>
      </c>
      <c r="B115" s="7" t="s">
        <v>10</v>
      </c>
      <c r="C115" s="7" t="s">
        <v>8</v>
      </c>
      <c r="D115" s="7" t="s">
        <v>14</v>
      </c>
      <c r="E115" s="7">
        <v>800</v>
      </c>
      <c r="F115" s="7">
        <v>39</v>
      </c>
      <c r="G115" s="8">
        <f t="shared" si="1"/>
        <v>31200</v>
      </c>
    </row>
    <row r="116" spans="1:7" ht="15.5" x14ac:dyDescent="0.35">
      <c r="A116" s="3">
        <v>45269</v>
      </c>
      <c r="B116" s="4" t="s">
        <v>23</v>
      </c>
      <c r="C116" s="4" t="s">
        <v>22</v>
      </c>
      <c r="D116" s="4" t="s">
        <v>14</v>
      </c>
      <c r="E116" s="4">
        <v>990</v>
      </c>
      <c r="F116" s="4">
        <v>9</v>
      </c>
      <c r="G116" s="5">
        <f t="shared" si="1"/>
        <v>8910</v>
      </c>
    </row>
    <row r="117" spans="1:7" ht="15.5" x14ac:dyDescent="0.35">
      <c r="A117" s="6">
        <v>45272</v>
      </c>
      <c r="B117" s="7" t="s">
        <v>7</v>
      </c>
      <c r="C117" s="7" t="s">
        <v>8</v>
      </c>
      <c r="D117" s="7" t="s">
        <v>9</v>
      </c>
      <c r="E117" s="7">
        <v>5599</v>
      </c>
      <c r="F117" s="7">
        <v>41</v>
      </c>
      <c r="G117" s="8">
        <f t="shared" si="1"/>
        <v>229559</v>
      </c>
    </row>
    <row r="118" spans="1:7" ht="15.5" x14ac:dyDescent="0.35">
      <c r="A118" s="3">
        <v>45275</v>
      </c>
      <c r="B118" s="4" t="s">
        <v>19</v>
      </c>
      <c r="C118" s="4" t="s">
        <v>20</v>
      </c>
      <c r="D118" s="4" t="s">
        <v>9</v>
      </c>
      <c r="E118" s="4">
        <v>499</v>
      </c>
      <c r="F118" s="4">
        <v>39</v>
      </c>
      <c r="G118" s="5">
        <f t="shared" si="1"/>
        <v>19461</v>
      </c>
    </row>
    <row r="119" spans="1:7" ht="15.5" x14ac:dyDescent="0.35">
      <c r="A119" s="6">
        <v>45278</v>
      </c>
      <c r="B119" s="7" t="s">
        <v>23</v>
      </c>
      <c r="C119" s="7" t="s">
        <v>22</v>
      </c>
      <c r="D119" s="7" t="s">
        <v>9</v>
      </c>
      <c r="E119" s="7">
        <v>1999</v>
      </c>
      <c r="F119" s="7">
        <v>4</v>
      </c>
      <c r="G119" s="8">
        <f t="shared" si="1"/>
        <v>7996</v>
      </c>
    </row>
    <row r="120" spans="1:7" ht="15.5" x14ac:dyDescent="0.35">
      <c r="A120" s="3">
        <v>45281</v>
      </c>
      <c r="B120" s="4" t="s">
        <v>12</v>
      </c>
      <c r="C120" s="4" t="s">
        <v>17</v>
      </c>
      <c r="D120" s="4" t="s">
        <v>9</v>
      </c>
      <c r="E120" s="4">
        <v>200</v>
      </c>
      <c r="F120" s="4">
        <v>8</v>
      </c>
      <c r="G120" s="5">
        <f t="shared" si="1"/>
        <v>1600</v>
      </c>
    </row>
    <row r="121" spans="1:7" ht="15.5" x14ac:dyDescent="0.35">
      <c r="A121" s="6">
        <v>45284</v>
      </c>
      <c r="B121" s="7" t="s">
        <v>23</v>
      </c>
      <c r="C121" s="7" t="s">
        <v>22</v>
      </c>
      <c r="D121" s="7" t="s">
        <v>14</v>
      </c>
      <c r="E121" s="7">
        <v>1499</v>
      </c>
      <c r="F121" s="7">
        <v>27</v>
      </c>
      <c r="G121" s="8">
        <f t="shared" si="1"/>
        <v>40473</v>
      </c>
    </row>
    <row r="122" spans="1:7" ht="15.5" x14ac:dyDescent="0.35">
      <c r="A122" s="3">
        <v>45287</v>
      </c>
      <c r="B122" s="4" t="s">
        <v>15</v>
      </c>
      <c r="C122" s="4" t="s">
        <v>17</v>
      </c>
      <c r="D122" s="4" t="s">
        <v>21</v>
      </c>
      <c r="E122" s="4">
        <v>120</v>
      </c>
      <c r="F122" s="4">
        <v>10</v>
      </c>
      <c r="G122" s="5">
        <f t="shared" si="1"/>
        <v>1200</v>
      </c>
    </row>
    <row r="123" spans="1:7" ht="15.5" x14ac:dyDescent="0.35">
      <c r="A123" s="6">
        <v>45290</v>
      </c>
      <c r="B123" s="7" t="s">
        <v>10</v>
      </c>
      <c r="C123" s="7" t="s">
        <v>20</v>
      </c>
      <c r="D123" s="7" t="s">
        <v>21</v>
      </c>
      <c r="E123" s="7">
        <v>11999</v>
      </c>
      <c r="F123" s="7">
        <v>17</v>
      </c>
      <c r="G123" s="8">
        <f t="shared" si="1"/>
        <v>203983</v>
      </c>
    </row>
    <row r="124" spans="1:7" ht="15.5" x14ac:dyDescent="0.35">
      <c r="A124" s="3">
        <v>45293</v>
      </c>
      <c r="B124" s="4" t="s">
        <v>10</v>
      </c>
      <c r="C124" s="4" t="s">
        <v>20</v>
      </c>
      <c r="D124" s="4" t="s">
        <v>11</v>
      </c>
      <c r="E124" s="4">
        <v>999</v>
      </c>
      <c r="F124" s="4">
        <v>27</v>
      </c>
      <c r="G124" s="5">
        <f t="shared" si="1"/>
        <v>26973</v>
      </c>
    </row>
    <row r="125" spans="1:7" ht="15.5" x14ac:dyDescent="0.35">
      <c r="A125" s="6">
        <v>45296</v>
      </c>
      <c r="B125" s="7" t="s">
        <v>12</v>
      </c>
      <c r="C125" s="7" t="s">
        <v>20</v>
      </c>
      <c r="D125" s="7" t="s">
        <v>14</v>
      </c>
      <c r="E125" s="7">
        <v>2999</v>
      </c>
      <c r="F125" s="7">
        <v>43</v>
      </c>
      <c r="G125" s="8">
        <f t="shared" si="1"/>
        <v>128957</v>
      </c>
    </row>
    <row r="126" spans="1:7" ht="15.5" x14ac:dyDescent="0.35">
      <c r="A126" s="3">
        <v>45299</v>
      </c>
      <c r="B126" s="4" t="s">
        <v>15</v>
      </c>
      <c r="C126" s="4" t="s">
        <v>16</v>
      </c>
      <c r="D126" s="4" t="s">
        <v>11</v>
      </c>
      <c r="E126" s="4">
        <v>47800</v>
      </c>
      <c r="F126" s="4">
        <v>9</v>
      </c>
      <c r="G126" s="5">
        <f t="shared" si="1"/>
        <v>430200</v>
      </c>
    </row>
    <row r="127" spans="1:7" ht="15.5" x14ac:dyDescent="0.35">
      <c r="A127" s="6">
        <v>45302</v>
      </c>
      <c r="B127" s="7" t="s">
        <v>19</v>
      </c>
      <c r="C127" s="7" t="s">
        <v>16</v>
      </c>
      <c r="D127" s="7" t="s">
        <v>9</v>
      </c>
      <c r="E127" s="7">
        <v>22000</v>
      </c>
      <c r="F127" s="7">
        <v>42</v>
      </c>
      <c r="G127" s="8">
        <f t="shared" si="1"/>
        <v>924000</v>
      </c>
    </row>
    <row r="128" spans="1:7" ht="15.5" x14ac:dyDescent="0.35">
      <c r="A128" s="3">
        <v>45305</v>
      </c>
      <c r="B128" s="4" t="s">
        <v>19</v>
      </c>
      <c r="C128" s="4" t="s">
        <v>13</v>
      </c>
      <c r="D128" s="4" t="s">
        <v>11</v>
      </c>
      <c r="E128" s="4">
        <v>1250</v>
      </c>
      <c r="F128" s="4">
        <v>6</v>
      </c>
      <c r="G128" s="5">
        <f t="shared" si="1"/>
        <v>7500</v>
      </c>
    </row>
    <row r="129" spans="1:7" ht="15.5" x14ac:dyDescent="0.35">
      <c r="A129" s="6">
        <v>45308</v>
      </c>
      <c r="B129" s="7" t="s">
        <v>15</v>
      </c>
      <c r="C129" s="7" t="s">
        <v>17</v>
      </c>
      <c r="D129" s="7" t="s">
        <v>14</v>
      </c>
      <c r="E129" s="7">
        <v>999</v>
      </c>
      <c r="F129" s="7">
        <v>28</v>
      </c>
      <c r="G129" s="8">
        <f t="shared" si="1"/>
        <v>27972</v>
      </c>
    </row>
    <row r="130" spans="1:7" ht="15.5" x14ac:dyDescent="0.35">
      <c r="A130" s="3">
        <v>45311</v>
      </c>
      <c r="B130" s="4" t="s">
        <v>19</v>
      </c>
      <c r="C130" s="4" t="s">
        <v>13</v>
      </c>
      <c r="D130" s="4" t="s">
        <v>21</v>
      </c>
      <c r="E130" s="4">
        <v>1450</v>
      </c>
      <c r="F130" s="4">
        <v>13</v>
      </c>
      <c r="G130" s="5">
        <f t="shared" si="1"/>
        <v>18850</v>
      </c>
    </row>
    <row r="131" spans="1:7" ht="15.5" x14ac:dyDescent="0.35">
      <c r="A131" s="6">
        <v>45314</v>
      </c>
      <c r="B131" s="7" t="s">
        <v>19</v>
      </c>
      <c r="C131" s="7" t="s">
        <v>13</v>
      </c>
      <c r="D131" s="7" t="s">
        <v>21</v>
      </c>
      <c r="E131" s="7">
        <v>23999</v>
      </c>
      <c r="F131" s="7">
        <v>8</v>
      </c>
      <c r="G131" s="8">
        <f t="shared" ref="G131:G194" si="2">E131*F131</f>
        <v>191992</v>
      </c>
    </row>
    <row r="132" spans="1:7" ht="15.5" x14ac:dyDescent="0.35">
      <c r="A132" s="3">
        <v>45317</v>
      </c>
      <c r="B132" s="4" t="s">
        <v>10</v>
      </c>
      <c r="C132" s="4" t="s">
        <v>16</v>
      </c>
      <c r="D132" s="4" t="s">
        <v>21</v>
      </c>
      <c r="E132" s="4">
        <v>92000</v>
      </c>
      <c r="F132" s="4">
        <v>7</v>
      </c>
      <c r="G132" s="5">
        <f t="shared" si="2"/>
        <v>644000</v>
      </c>
    </row>
    <row r="133" spans="1:7" ht="15.5" x14ac:dyDescent="0.35">
      <c r="A133" s="6">
        <v>45320</v>
      </c>
      <c r="B133" s="7" t="s">
        <v>23</v>
      </c>
      <c r="C133" s="7" t="s">
        <v>22</v>
      </c>
      <c r="D133" s="7" t="s">
        <v>14</v>
      </c>
      <c r="E133" s="7">
        <v>699</v>
      </c>
      <c r="F133" s="7">
        <v>45</v>
      </c>
      <c r="G133" s="8">
        <f t="shared" si="2"/>
        <v>31455</v>
      </c>
    </row>
    <row r="134" spans="1:7" ht="15.5" x14ac:dyDescent="0.35">
      <c r="A134" s="3">
        <v>45323</v>
      </c>
      <c r="B134" s="4" t="s">
        <v>7</v>
      </c>
      <c r="C134" s="4" t="s">
        <v>8</v>
      </c>
      <c r="D134" s="4" t="s">
        <v>9</v>
      </c>
      <c r="E134" s="4">
        <v>2550</v>
      </c>
      <c r="F134" s="4">
        <v>22</v>
      </c>
      <c r="G134" s="5">
        <f t="shared" si="2"/>
        <v>56100</v>
      </c>
    </row>
    <row r="135" spans="1:7" ht="15.5" x14ac:dyDescent="0.35">
      <c r="A135" s="6">
        <v>45326</v>
      </c>
      <c r="B135" s="7" t="s">
        <v>12</v>
      </c>
      <c r="C135" s="7" t="s">
        <v>20</v>
      </c>
      <c r="D135" s="7" t="s">
        <v>21</v>
      </c>
      <c r="E135" s="7">
        <v>22000</v>
      </c>
      <c r="F135" s="7">
        <v>4</v>
      </c>
      <c r="G135" s="8">
        <f t="shared" si="2"/>
        <v>88000</v>
      </c>
    </row>
    <row r="136" spans="1:7" ht="15.5" x14ac:dyDescent="0.35">
      <c r="A136" s="3">
        <v>45329</v>
      </c>
      <c r="B136" s="4" t="s">
        <v>19</v>
      </c>
      <c r="C136" s="4" t="s">
        <v>20</v>
      </c>
      <c r="D136" s="4" t="s">
        <v>9</v>
      </c>
      <c r="E136" s="4">
        <v>22000</v>
      </c>
      <c r="F136" s="4">
        <v>10</v>
      </c>
      <c r="G136" s="5">
        <f t="shared" si="2"/>
        <v>220000</v>
      </c>
    </row>
    <row r="137" spans="1:7" ht="15.5" x14ac:dyDescent="0.35">
      <c r="A137" s="6">
        <v>45332</v>
      </c>
      <c r="B137" s="7" t="s">
        <v>10</v>
      </c>
      <c r="C137" s="7" t="s">
        <v>22</v>
      </c>
      <c r="D137" s="7" t="s">
        <v>14</v>
      </c>
      <c r="E137" s="7">
        <v>1499</v>
      </c>
      <c r="F137" s="7">
        <v>16</v>
      </c>
      <c r="G137" s="8">
        <f t="shared" si="2"/>
        <v>23984</v>
      </c>
    </row>
    <row r="138" spans="1:7" ht="15.5" x14ac:dyDescent="0.35">
      <c r="A138" s="3">
        <v>45335</v>
      </c>
      <c r="B138" s="4" t="s">
        <v>15</v>
      </c>
      <c r="C138" s="4" t="s">
        <v>17</v>
      </c>
      <c r="D138" s="4" t="s">
        <v>21</v>
      </c>
      <c r="E138" s="4">
        <v>120</v>
      </c>
      <c r="F138" s="4">
        <v>22</v>
      </c>
      <c r="G138" s="5">
        <f t="shared" si="2"/>
        <v>2640</v>
      </c>
    </row>
    <row r="139" spans="1:7" ht="15.5" x14ac:dyDescent="0.35">
      <c r="A139" s="6">
        <v>45338</v>
      </c>
      <c r="B139" s="7" t="s">
        <v>7</v>
      </c>
      <c r="C139" s="7" t="s">
        <v>8</v>
      </c>
      <c r="D139" s="7" t="s">
        <v>11</v>
      </c>
      <c r="E139" s="7">
        <v>1450</v>
      </c>
      <c r="F139" s="7">
        <v>20</v>
      </c>
      <c r="G139" s="8">
        <f t="shared" si="2"/>
        <v>29000</v>
      </c>
    </row>
    <row r="140" spans="1:7" ht="15.5" x14ac:dyDescent="0.35">
      <c r="A140" s="3">
        <v>45341</v>
      </c>
      <c r="B140" s="4" t="s">
        <v>23</v>
      </c>
      <c r="C140" s="4" t="s">
        <v>22</v>
      </c>
      <c r="D140" s="4" t="s">
        <v>14</v>
      </c>
      <c r="E140" s="4">
        <v>1999</v>
      </c>
      <c r="F140" s="4">
        <v>23</v>
      </c>
      <c r="G140" s="5">
        <f t="shared" si="2"/>
        <v>45977</v>
      </c>
    </row>
    <row r="141" spans="1:7" ht="15.5" x14ac:dyDescent="0.35">
      <c r="A141" s="6">
        <v>45344</v>
      </c>
      <c r="B141" s="7" t="s">
        <v>10</v>
      </c>
      <c r="C141" s="7" t="s">
        <v>8</v>
      </c>
      <c r="D141" s="7" t="s">
        <v>24</v>
      </c>
      <c r="E141" s="7">
        <v>800</v>
      </c>
      <c r="F141" s="7">
        <v>43</v>
      </c>
      <c r="G141" s="8">
        <f t="shared" si="2"/>
        <v>34400</v>
      </c>
    </row>
    <row r="142" spans="1:7" ht="15.5" x14ac:dyDescent="0.35">
      <c r="A142" s="3">
        <v>45347</v>
      </c>
      <c r="B142" s="4" t="s">
        <v>15</v>
      </c>
      <c r="C142" s="4" t="s">
        <v>17</v>
      </c>
      <c r="D142" s="4" t="s">
        <v>21</v>
      </c>
      <c r="E142" s="4">
        <v>100</v>
      </c>
      <c r="F142" s="4">
        <v>41</v>
      </c>
      <c r="G142" s="5">
        <f t="shared" si="2"/>
        <v>4100</v>
      </c>
    </row>
    <row r="143" spans="1:7" ht="15.5" x14ac:dyDescent="0.35">
      <c r="A143" s="6">
        <v>45350</v>
      </c>
      <c r="B143" s="7" t="s">
        <v>7</v>
      </c>
      <c r="C143" s="7" t="s">
        <v>16</v>
      </c>
      <c r="D143" s="7" t="s">
        <v>21</v>
      </c>
      <c r="E143" s="7">
        <v>13999</v>
      </c>
      <c r="F143" s="7">
        <v>37</v>
      </c>
      <c r="G143" s="8">
        <f t="shared" si="2"/>
        <v>517963</v>
      </c>
    </row>
    <row r="144" spans="1:7" ht="15.5" x14ac:dyDescent="0.35">
      <c r="A144" s="3">
        <v>45353</v>
      </c>
      <c r="B144" s="4" t="s">
        <v>12</v>
      </c>
      <c r="C144" s="4" t="s">
        <v>20</v>
      </c>
      <c r="D144" s="4" t="s">
        <v>18</v>
      </c>
      <c r="E144" s="4">
        <v>22000</v>
      </c>
      <c r="F144" s="4">
        <v>45</v>
      </c>
      <c r="G144" s="5">
        <f t="shared" si="2"/>
        <v>990000</v>
      </c>
    </row>
    <row r="145" spans="1:7" ht="15.5" x14ac:dyDescent="0.35">
      <c r="A145" s="6">
        <v>45356</v>
      </c>
      <c r="B145" s="7" t="s">
        <v>19</v>
      </c>
      <c r="C145" s="7" t="s">
        <v>20</v>
      </c>
      <c r="D145" s="7" t="s">
        <v>24</v>
      </c>
      <c r="E145" s="7">
        <v>89999</v>
      </c>
      <c r="F145" s="7">
        <v>15</v>
      </c>
      <c r="G145" s="8">
        <f t="shared" si="2"/>
        <v>1349985</v>
      </c>
    </row>
    <row r="146" spans="1:7" ht="15.5" x14ac:dyDescent="0.35">
      <c r="A146" s="3">
        <v>45359</v>
      </c>
      <c r="B146" s="4" t="s">
        <v>7</v>
      </c>
      <c r="C146" s="4" t="s">
        <v>8</v>
      </c>
      <c r="D146" s="4" t="s">
        <v>18</v>
      </c>
      <c r="E146" s="4">
        <v>13999</v>
      </c>
      <c r="F146" s="4">
        <v>22</v>
      </c>
      <c r="G146" s="5">
        <f t="shared" si="2"/>
        <v>307978</v>
      </c>
    </row>
    <row r="147" spans="1:7" ht="15.5" x14ac:dyDescent="0.35">
      <c r="A147" s="6">
        <v>45362</v>
      </c>
      <c r="B147" s="7" t="s">
        <v>10</v>
      </c>
      <c r="C147" s="7" t="s">
        <v>22</v>
      </c>
      <c r="D147" s="7" t="s">
        <v>14</v>
      </c>
      <c r="E147" s="7">
        <v>2900</v>
      </c>
      <c r="F147" s="7">
        <v>20</v>
      </c>
      <c r="G147" s="8">
        <f t="shared" si="2"/>
        <v>58000</v>
      </c>
    </row>
    <row r="148" spans="1:7" ht="15.5" x14ac:dyDescent="0.35">
      <c r="A148" s="3">
        <v>45365</v>
      </c>
      <c r="B148" s="4" t="s">
        <v>19</v>
      </c>
      <c r="C148" s="4" t="s">
        <v>20</v>
      </c>
      <c r="D148" s="4" t="s">
        <v>18</v>
      </c>
      <c r="E148" s="4">
        <v>33000</v>
      </c>
      <c r="F148" s="4">
        <v>16</v>
      </c>
      <c r="G148" s="5">
        <f t="shared" si="2"/>
        <v>528000</v>
      </c>
    </row>
    <row r="149" spans="1:7" ht="15.5" x14ac:dyDescent="0.35">
      <c r="A149" s="6">
        <v>45368</v>
      </c>
      <c r="B149" s="7" t="s">
        <v>10</v>
      </c>
      <c r="C149" s="7" t="s">
        <v>20</v>
      </c>
      <c r="D149" s="7" t="s">
        <v>11</v>
      </c>
      <c r="E149" s="7">
        <v>22000</v>
      </c>
      <c r="F149" s="7">
        <v>17</v>
      </c>
      <c r="G149" s="8">
        <f t="shared" si="2"/>
        <v>374000</v>
      </c>
    </row>
    <row r="150" spans="1:7" ht="15.5" x14ac:dyDescent="0.35">
      <c r="A150" s="3">
        <v>45371</v>
      </c>
      <c r="B150" s="4" t="s">
        <v>10</v>
      </c>
      <c r="C150" s="4" t="s">
        <v>22</v>
      </c>
      <c r="D150" s="4" t="s">
        <v>11</v>
      </c>
      <c r="E150" s="4">
        <v>45000</v>
      </c>
      <c r="F150" s="4">
        <v>50</v>
      </c>
      <c r="G150" s="5">
        <f t="shared" si="2"/>
        <v>2250000</v>
      </c>
    </row>
    <row r="151" spans="1:7" ht="15.5" x14ac:dyDescent="0.35">
      <c r="A151" s="6">
        <v>45374</v>
      </c>
      <c r="B151" s="7" t="s">
        <v>19</v>
      </c>
      <c r="C151" s="7" t="s">
        <v>16</v>
      </c>
      <c r="D151" s="7" t="s">
        <v>14</v>
      </c>
      <c r="E151" s="7">
        <v>499</v>
      </c>
      <c r="F151" s="7">
        <v>4</v>
      </c>
      <c r="G151" s="8">
        <f t="shared" si="2"/>
        <v>1996</v>
      </c>
    </row>
    <row r="152" spans="1:7" ht="15.5" x14ac:dyDescent="0.35">
      <c r="A152" s="3">
        <v>45377</v>
      </c>
      <c r="B152" s="4" t="s">
        <v>23</v>
      </c>
      <c r="C152" s="4" t="s">
        <v>22</v>
      </c>
      <c r="D152" s="4" t="s">
        <v>18</v>
      </c>
      <c r="E152" s="4">
        <v>590</v>
      </c>
      <c r="F152" s="4">
        <v>43</v>
      </c>
      <c r="G152" s="5">
        <f t="shared" si="2"/>
        <v>25370</v>
      </c>
    </row>
    <row r="153" spans="1:7" ht="15.5" x14ac:dyDescent="0.35">
      <c r="A153" s="6">
        <v>45380</v>
      </c>
      <c r="B153" s="7" t="s">
        <v>12</v>
      </c>
      <c r="C153" s="7" t="s">
        <v>22</v>
      </c>
      <c r="D153" s="7" t="s">
        <v>11</v>
      </c>
      <c r="E153" s="7">
        <v>590</v>
      </c>
      <c r="F153" s="7">
        <v>42</v>
      </c>
      <c r="G153" s="8">
        <f t="shared" si="2"/>
        <v>24780</v>
      </c>
    </row>
    <row r="154" spans="1:7" ht="15.5" x14ac:dyDescent="0.35">
      <c r="A154" s="3">
        <v>45383</v>
      </c>
      <c r="B154" s="4" t="s">
        <v>15</v>
      </c>
      <c r="C154" s="4" t="s">
        <v>17</v>
      </c>
      <c r="D154" s="4" t="s">
        <v>9</v>
      </c>
      <c r="E154" s="4">
        <v>12000</v>
      </c>
      <c r="F154" s="4">
        <v>9</v>
      </c>
      <c r="G154" s="5">
        <f t="shared" si="2"/>
        <v>108000</v>
      </c>
    </row>
    <row r="155" spans="1:7" ht="15.5" x14ac:dyDescent="0.35">
      <c r="A155" s="6">
        <v>45386</v>
      </c>
      <c r="B155" s="7" t="s">
        <v>19</v>
      </c>
      <c r="C155" s="7" t="s">
        <v>20</v>
      </c>
      <c r="D155" s="7" t="s">
        <v>24</v>
      </c>
      <c r="E155" s="7">
        <v>52000</v>
      </c>
      <c r="F155" s="7">
        <v>40</v>
      </c>
      <c r="G155" s="8">
        <f t="shared" si="2"/>
        <v>2080000</v>
      </c>
    </row>
    <row r="156" spans="1:7" ht="15.5" x14ac:dyDescent="0.35">
      <c r="A156" s="3">
        <v>45389</v>
      </c>
      <c r="B156" s="4" t="s">
        <v>19</v>
      </c>
      <c r="C156" s="4" t="s">
        <v>13</v>
      </c>
      <c r="D156" s="4" t="s">
        <v>18</v>
      </c>
      <c r="E156" s="4">
        <v>7999</v>
      </c>
      <c r="F156" s="4">
        <v>14</v>
      </c>
      <c r="G156" s="5">
        <f t="shared" si="2"/>
        <v>111986</v>
      </c>
    </row>
    <row r="157" spans="1:7" ht="15.5" x14ac:dyDescent="0.35">
      <c r="A157" s="6">
        <v>45392</v>
      </c>
      <c r="B157" s="7" t="s">
        <v>10</v>
      </c>
      <c r="C157" s="7" t="s">
        <v>13</v>
      </c>
      <c r="D157" s="7" t="s">
        <v>21</v>
      </c>
      <c r="E157" s="7">
        <v>5000</v>
      </c>
      <c r="F157" s="7">
        <v>9</v>
      </c>
      <c r="G157" s="8">
        <f t="shared" si="2"/>
        <v>45000</v>
      </c>
    </row>
    <row r="158" spans="1:7" ht="15.5" x14ac:dyDescent="0.35">
      <c r="A158" s="3">
        <v>45395</v>
      </c>
      <c r="B158" s="4" t="s">
        <v>19</v>
      </c>
      <c r="C158" s="4" t="s">
        <v>20</v>
      </c>
      <c r="D158" s="4" t="s">
        <v>18</v>
      </c>
      <c r="E158" s="4">
        <v>79999</v>
      </c>
      <c r="F158" s="4">
        <v>10</v>
      </c>
      <c r="G158" s="5">
        <f t="shared" si="2"/>
        <v>799990</v>
      </c>
    </row>
    <row r="159" spans="1:7" ht="15.5" x14ac:dyDescent="0.35">
      <c r="A159" s="6">
        <v>45398</v>
      </c>
      <c r="B159" s="7" t="s">
        <v>23</v>
      </c>
      <c r="C159" s="7" t="s">
        <v>16</v>
      </c>
      <c r="D159" s="7" t="s">
        <v>14</v>
      </c>
      <c r="E159" s="7">
        <v>1999</v>
      </c>
      <c r="F159" s="7">
        <v>37</v>
      </c>
      <c r="G159" s="8">
        <f t="shared" si="2"/>
        <v>73963</v>
      </c>
    </row>
    <row r="160" spans="1:7" ht="15.5" x14ac:dyDescent="0.35">
      <c r="A160" s="3">
        <v>45401</v>
      </c>
      <c r="B160" s="4" t="s">
        <v>19</v>
      </c>
      <c r="C160" s="4" t="s">
        <v>20</v>
      </c>
      <c r="D160" s="4" t="s">
        <v>18</v>
      </c>
      <c r="E160" s="4">
        <v>89999</v>
      </c>
      <c r="F160" s="4">
        <v>29</v>
      </c>
      <c r="G160" s="5">
        <f t="shared" si="2"/>
        <v>2609971</v>
      </c>
    </row>
    <row r="161" spans="1:7" ht="15.5" x14ac:dyDescent="0.35">
      <c r="A161" s="6">
        <v>45404</v>
      </c>
      <c r="B161" s="7" t="s">
        <v>12</v>
      </c>
      <c r="C161" s="7" t="s">
        <v>20</v>
      </c>
      <c r="D161" s="7" t="s">
        <v>9</v>
      </c>
      <c r="E161" s="7">
        <v>799</v>
      </c>
      <c r="F161" s="7">
        <v>44</v>
      </c>
      <c r="G161" s="8">
        <f t="shared" si="2"/>
        <v>35156</v>
      </c>
    </row>
    <row r="162" spans="1:7" ht="15.5" x14ac:dyDescent="0.35">
      <c r="A162" s="3">
        <v>45407</v>
      </c>
      <c r="B162" s="4" t="s">
        <v>19</v>
      </c>
      <c r="C162" s="4" t="s">
        <v>20</v>
      </c>
      <c r="D162" s="4" t="s">
        <v>11</v>
      </c>
      <c r="E162" s="4">
        <v>3990</v>
      </c>
      <c r="F162" s="4">
        <v>31</v>
      </c>
      <c r="G162" s="5">
        <f t="shared" si="2"/>
        <v>123690</v>
      </c>
    </row>
    <row r="163" spans="1:7" ht="15.5" x14ac:dyDescent="0.35">
      <c r="A163" s="6">
        <v>45410</v>
      </c>
      <c r="B163" s="7" t="s">
        <v>10</v>
      </c>
      <c r="C163" s="7" t="s">
        <v>20</v>
      </c>
      <c r="D163" s="7" t="s">
        <v>14</v>
      </c>
      <c r="E163" s="7">
        <v>52000</v>
      </c>
      <c r="F163" s="7">
        <v>29</v>
      </c>
      <c r="G163" s="8">
        <f t="shared" si="2"/>
        <v>1508000</v>
      </c>
    </row>
    <row r="164" spans="1:7" ht="15.5" x14ac:dyDescent="0.35">
      <c r="A164" s="3">
        <v>45413</v>
      </c>
      <c r="B164" s="4" t="s">
        <v>10</v>
      </c>
      <c r="C164" s="4" t="s">
        <v>8</v>
      </c>
      <c r="D164" s="4" t="s">
        <v>18</v>
      </c>
      <c r="E164" s="4">
        <v>13999</v>
      </c>
      <c r="F164" s="4">
        <v>34</v>
      </c>
      <c r="G164" s="5">
        <f t="shared" si="2"/>
        <v>475966</v>
      </c>
    </row>
    <row r="165" spans="1:7" ht="15.5" x14ac:dyDescent="0.35">
      <c r="A165" s="6">
        <v>45416</v>
      </c>
      <c r="B165" s="7" t="s">
        <v>15</v>
      </c>
      <c r="C165" s="7" t="s">
        <v>17</v>
      </c>
      <c r="D165" s="7" t="s">
        <v>14</v>
      </c>
      <c r="E165" s="7">
        <v>14500</v>
      </c>
      <c r="F165" s="7">
        <v>29</v>
      </c>
      <c r="G165" s="8">
        <f t="shared" si="2"/>
        <v>420500</v>
      </c>
    </row>
    <row r="166" spans="1:7" ht="15.5" x14ac:dyDescent="0.35">
      <c r="A166" s="3">
        <v>45419</v>
      </c>
      <c r="B166" s="4" t="s">
        <v>19</v>
      </c>
      <c r="C166" s="4" t="s">
        <v>13</v>
      </c>
      <c r="D166" s="4" t="s">
        <v>24</v>
      </c>
      <c r="E166" s="4">
        <v>23999</v>
      </c>
      <c r="F166" s="4">
        <v>25</v>
      </c>
      <c r="G166" s="5">
        <f t="shared" si="2"/>
        <v>599975</v>
      </c>
    </row>
    <row r="167" spans="1:7" ht="15.5" x14ac:dyDescent="0.35">
      <c r="A167" s="6">
        <v>45422</v>
      </c>
      <c r="B167" s="7" t="s">
        <v>19</v>
      </c>
      <c r="C167" s="7" t="s">
        <v>13</v>
      </c>
      <c r="D167" s="7" t="s">
        <v>18</v>
      </c>
      <c r="E167" s="7">
        <v>1250</v>
      </c>
      <c r="F167" s="7">
        <v>31</v>
      </c>
      <c r="G167" s="8">
        <f t="shared" si="2"/>
        <v>38750</v>
      </c>
    </row>
    <row r="168" spans="1:7" ht="15.5" x14ac:dyDescent="0.35">
      <c r="A168" s="3">
        <v>45425</v>
      </c>
      <c r="B168" s="4" t="s">
        <v>23</v>
      </c>
      <c r="C168" s="4" t="s">
        <v>16</v>
      </c>
      <c r="D168" s="4" t="s">
        <v>18</v>
      </c>
      <c r="E168" s="4">
        <v>35600</v>
      </c>
      <c r="F168" s="4">
        <v>16</v>
      </c>
      <c r="G168" s="5">
        <f t="shared" si="2"/>
        <v>569600</v>
      </c>
    </row>
    <row r="169" spans="1:7" ht="15.5" x14ac:dyDescent="0.35">
      <c r="A169" s="6">
        <v>45428</v>
      </c>
      <c r="B169" s="7" t="s">
        <v>15</v>
      </c>
      <c r="C169" s="7" t="s">
        <v>17</v>
      </c>
      <c r="D169" s="7" t="s">
        <v>18</v>
      </c>
      <c r="E169" s="7">
        <v>65000</v>
      </c>
      <c r="F169" s="7">
        <v>48</v>
      </c>
      <c r="G169" s="8">
        <f t="shared" si="2"/>
        <v>3120000</v>
      </c>
    </row>
    <row r="170" spans="1:7" ht="15.5" x14ac:dyDescent="0.35">
      <c r="A170" s="3">
        <v>45431</v>
      </c>
      <c r="B170" s="4" t="s">
        <v>12</v>
      </c>
      <c r="C170" s="4" t="s">
        <v>17</v>
      </c>
      <c r="D170" s="4" t="s">
        <v>24</v>
      </c>
      <c r="E170" s="4">
        <v>12000</v>
      </c>
      <c r="F170" s="4">
        <v>22</v>
      </c>
      <c r="G170" s="5">
        <f t="shared" si="2"/>
        <v>264000</v>
      </c>
    </row>
    <row r="171" spans="1:7" ht="15.5" x14ac:dyDescent="0.35">
      <c r="A171" s="6">
        <v>45434</v>
      </c>
      <c r="B171" s="7" t="s">
        <v>23</v>
      </c>
      <c r="C171" s="7" t="s">
        <v>22</v>
      </c>
      <c r="D171" s="7" t="s">
        <v>18</v>
      </c>
      <c r="E171" s="7">
        <v>699</v>
      </c>
      <c r="F171" s="7">
        <v>6</v>
      </c>
      <c r="G171" s="8">
        <f t="shared" si="2"/>
        <v>4194</v>
      </c>
    </row>
    <row r="172" spans="1:7" ht="15.5" x14ac:dyDescent="0.35">
      <c r="A172" s="3">
        <v>45437</v>
      </c>
      <c r="B172" s="4" t="s">
        <v>23</v>
      </c>
      <c r="C172" s="4" t="s">
        <v>16</v>
      </c>
      <c r="D172" s="4" t="s">
        <v>14</v>
      </c>
      <c r="E172" s="4">
        <v>990</v>
      </c>
      <c r="F172" s="4">
        <v>12</v>
      </c>
      <c r="G172" s="5">
        <f t="shared" si="2"/>
        <v>11880</v>
      </c>
    </row>
    <row r="173" spans="1:7" ht="15.5" x14ac:dyDescent="0.35">
      <c r="A173" s="6">
        <v>45440</v>
      </c>
      <c r="B173" s="7" t="s">
        <v>23</v>
      </c>
      <c r="C173" s="7" t="s">
        <v>22</v>
      </c>
      <c r="D173" s="7" t="s">
        <v>9</v>
      </c>
      <c r="E173" s="7">
        <v>450</v>
      </c>
      <c r="F173" s="7">
        <v>44</v>
      </c>
      <c r="G173" s="8">
        <f t="shared" si="2"/>
        <v>19800</v>
      </c>
    </row>
    <row r="174" spans="1:7" ht="15.5" x14ac:dyDescent="0.35">
      <c r="A174" s="3">
        <v>45443</v>
      </c>
      <c r="B174" s="4" t="s">
        <v>23</v>
      </c>
      <c r="C174" s="4" t="s">
        <v>16</v>
      </c>
      <c r="D174" s="4" t="s">
        <v>9</v>
      </c>
      <c r="E174" s="4">
        <v>1499</v>
      </c>
      <c r="F174" s="4">
        <v>15</v>
      </c>
      <c r="G174" s="5">
        <f t="shared" si="2"/>
        <v>22485</v>
      </c>
    </row>
    <row r="175" spans="1:7" ht="15.5" x14ac:dyDescent="0.35">
      <c r="A175" s="6">
        <v>45446</v>
      </c>
      <c r="B175" s="7" t="s">
        <v>7</v>
      </c>
      <c r="C175" s="7" t="s">
        <v>8</v>
      </c>
      <c r="D175" s="7" t="s">
        <v>21</v>
      </c>
      <c r="E175" s="7">
        <v>499</v>
      </c>
      <c r="F175" s="7">
        <v>26</v>
      </c>
      <c r="G175" s="8">
        <f t="shared" si="2"/>
        <v>12974</v>
      </c>
    </row>
    <row r="176" spans="1:7" ht="15.5" x14ac:dyDescent="0.35">
      <c r="A176" s="3">
        <v>45449</v>
      </c>
      <c r="B176" s="4" t="s">
        <v>19</v>
      </c>
      <c r="C176" s="4" t="s">
        <v>13</v>
      </c>
      <c r="D176" s="4" t="s">
        <v>21</v>
      </c>
      <c r="E176" s="4">
        <v>960</v>
      </c>
      <c r="F176" s="4">
        <v>16</v>
      </c>
      <c r="G176" s="5">
        <f t="shared" si="2"/>
        <v>15360</v>
      </c>
    </row>
    <row r="177" spans="1:7" ht="15.5" x14ac:dyDescent="0.35">
      <c r="A177" s="6">
        <v>45452</v>
      </c>
      <c r="B177" s="7" t="s">
        <v>12</v>
      </c>
      <c r="C177" s="7" t="s">
        <v>16</v>
      </c>
      <c r="D177" s="7" t="s">
        <v>18</v>
      </c>
      <c r="E177" s="7">
        <v>5599</v>
      </c>
      <c r="F177" s="7">
        <v>35</v>
      </c>
      <c r="G177" s="8">
        <f t="shared" si="2"/>
        <v>195965</v>
      </c>
    </row>
    <row r="178" spans="1:7" ht="15.5" x14ac:dyDescent="0.35">
      <c r="A178" s="3">
        <v>45455</v>
      </c>
      <c r="B178" s="4" t="s">
        <v>15</v>
      </c>
      <c r="C178" s="4" t="s">
        <v>17</v>
      </c>
      <c r="D178" s="4" t="s">
        <v>9</v>
      </c>
      <c r="E178" s="4">
        <v>89</v>
      </c>
      <c r="F178" s="4">
        <v>36</v>
      </c>
      <c r="G178" s="5">
        <f t="shared" si="2"/>
        <v>3204</v>
      </c>
    </row>
    <row r="179" spans="1:7" ht="15.5" x14ac:dyDescent="0.35">
      <c r="A179" s="6">
        <v>45458</v>
      </c>
      <c r="B179" s="7" t="s">
        <v>7</v>
      </c>
      <c r="C179" s="7" t="s">
        <v>8</v>
      </c>
      <c r="D179" s="7" t="s">
        <v>14</v>
      </c>
      <c r="E179" s="7">
        <v>2550</v>
      </c>
      <c r="F179" s="7">
        <v>20</v>
      </c>
      <c r="G179" s="8">
        <f t="shared" si="2"/>
        <v>51000</v>
      </c>
    </row>
    <row r="180" spans="1:7" ht="15.5" x14ac:dyDescent="0.35">
      <c r="A180" s="3">
        <v>45461</v>
      </c>
      <c r="B180" s="4" t="s">
        <v>7</v>
      </c>
      <c r="C180" s="4" t="s">
        <v>8</v>
      </c>
      <c r="D180" s="4" t="s">
        <v>9</v>
      </c>
      <c r="E180" s="4">
        <v>1450</v>
      </c>
      <c r="F180" s="4">
        <v>47</v>
      </c>
      <c r="G180" s="5">
        <f t="shared" si="2"/>
        <v>68150</v>
      </c>
    </row>
    <row r="181" spans="1:7" ht="15.5" x14ac:dyDescent="0.35">
      <c r="A181" s="6">
        <v>45464</v>
      </c>
      <c r="B181" s="7" t="s">
        <v>23</v>
      </c>
      <c r="C181" s="7" t="s">
        <v>22</v>
      </c>
      <c r="D181" s="7" t="s">
        <v>18</v>
      </c>
      <c r="E181" s="7">
        <v>2900</v>
      </c>
      <c r="F181" s="7">
        <v>6</v>
      </c>
      <c r="G181" s="8">
        <f t="shared" si="2"/>
        <v>17400</v>
      </c>
    </row>
    <row r="182" spans="1:7" ht="15.5" x14ac:dyDescent="0.35">
      <c r="A182" s="3">
        <v>45467</v>
      </c>
      <c r="B182" s="4" t="s">
        <v>15</v>
      </c>
      <c r="C182" s="4" t="s">
        <v>17</v>
      </c>
      <c r="D182" s="4" t="s">
        <v>21</v>
      </c>
      <c r="E182" s="4">
        <v>120</v>
      </c>
      <c r="F182" s="4">
        <v>6</v>
      </c>
      <c r="G182" s="5">
        <f t="shared" si="2"/>
        <v>720</v>
      </c>
    </row>
    <row r="183" spans="1:7" ht="15.5" x14ac:dyDescent="0.35">
      <c r="A183" s="6">
        <v>45470</v>
      </c>
      <c r="B183" s="7" t="s">
        <v>19</v>
      </c>
      <c r="C183" s="7" t="s">
        <v>20</v>
      </c>
      <c r="D183" s="7" t="s">
        <v>21</v>
      </c>
      <c r="E183" s="7">
        <v>52000</v>
      </c>
      <c r="F183" s="7">
        <v>41</v>
      </c>
      <c r="G183" s="8">
        <f t="shared" si="2"/>
        <v>2132000</v>
      </c>
    </row>
    <row r="184" spans="1:7" ht="15.5" x14ac:dyDescent="0.35">
      <c r="A184" s="3">
        <v>45473</v>
      </c>
      <c r="B184" s="4" t="s">
        <v>23</v>
      </c>
      <c r="C184" s="4" t="s">
        <v>22</v>
      </c>
      <c r="D184" s="4" t="s">
        <v>14</v>
      </c>
      <c r="E184" s="4">
        <v>590</v>
      </c>
      <c r="F184" s="4">
        <v>29</v>
      </c>
      <c r="G184" s="5">
        <f t="shared" si="2"/>
        <v>17110</v>
      </c>
    </row>
    <row r="185" spans="1:7" ht="15.5" x14ac:dyDescent="0.35">
      <c r="A185" s="6">
        <v>45476</v>
      </c>
      <c r="B185" s="7" t="s">
        <v>19</v>
      </c>
      <c r="C185" s="7" t="s">
        <v>16</v>
      </c>
      <c r="D185" s="7" t="s">
        <v>24</v>
      </c>
      <c r="E185" s="7">
        <v>7999</v>
      </c>
      <c r="F185" s="7">
        <v>31</v>
      </c>
      <c r="G185" s="8">
        <f t="shared" si="2"/>
        <v>247969</v>
      </c>
    </row>
    <row r="186" spans="1:7" ht="15.5" x14ac:dyDescent="0.35">
      <c r="A186" s="3">
        <v>45479</v>
      </c>
      <c r="B186" s="4" t="s">
        <v>10</v>
      </c>
      <c r="C186" s="4" t="s">
        <v>17</v>
      </c>
      <c r="D186" s="4" t="s">
        <v>14</v>
      </c>
      <c r="E186" s="4">
        <v>999</v>
      </c>
      <c r="F186" s="4">
        <v>34</v>
      </c>
      <c r="G186" s="5">
        <f t="shared" si="2"/>
        <v>33966</v>
      </c>
    </row>
    <row r="187" spans="1:7" ht="15.5" x14ac:dyDescent="0.35">
      <c r="A187" s="6">
        <v>45482</v>
      </c>
      <c r="B187" s="7" t="s">
        <v>12</v>
      </c>
      <c r="C187" s="7" t="s">
        <v>22</v>
      </c>
      <c r="D187" s="7" t="s">
        <v>9</v>
      </c>
      <c r="E187" s="7">
        <v>990</v>
      </c>
      <c r="F187" s="7">
        <v>43</v>
      </c>
      <c r="G187" s="8">
        <f t="shared" si="2"/>
        <v>42570</v>
      </c>
    </row>
    <row r="188" spans="1:7" ht="15.5" x14ac:dyDescent="0.35">
      <c r="A188" s="3">
        <v>45485</v>
      </c>
      <c r="B188" s="4" t="s">
        <v>19</v>
      </c>
      <c r="C188" s="4" t="s">
        <v>20</v>
      </c>
      <c r="D188" s="4" t="s">
        <v>9</v>
      </c>
      <c r="E188" s="4">
        <v>11999</v>
      </c>
      <c r="F188" s="4">
        <v>37</v>
      </c>
      <c r="G188" s="5">
        <f t="shared" si="2"/>
        <v>443963</v>
      </c>
    </row>
    <row r="189" spans="1:7" ht="15.5" x14ac:dyDescent="0.35">
      <c r="A189" s="6">
        <v>45488</v>
      </c>
      <c r="B189" s="7" t="s">
        <v>19</v>
      </c>
      <c r="C189" s="7" t="s">
        <v>13</v>
      </c>
      <c r="D189" s="7" t="s">
        <v>9</v>
      </c>
      <c r="E189" s="7">
        <v>960</v>
      </c>
      <c r="F189" s="7">
        <v>7</v>
      </c>
      <c r="G189" s="8">
        <f t="shared" si="2"/>
        <v>6720</v>
      </c>
    </row>
    <row r="190" spans="1:7" ht="15.5" x14ac:dyDescent="0.35">
      <c r="A190" s="3">
        <v>45491</v>
      </c>
      <c r="B190" s="4" t="s">
        <v>7</v>
      </c>
      <c r="C190" s="4" t="s">
        <v>8</v>
      </c>
      <c r="D190" s="4" t="s">
        <v>14</v>
      </c>
      <c r="E190" s="4">
        <v>1450</v>
      </c>
      <c r="F190" s="4">
        <v>19</v>
      </c>
      <c r="G190" s="5">
        <f t="shared" si="2"/>
        <v>27550</v>
      </c>
    </row>
    <row r="191" spans="1:7" ht="15.5" x14ac:dyDescent="0.35">
      <c r="A191" s="6">
        <v>45494</v>
      </c>
      <c r="B191" s="7" t="s">
        <v>23</v>
      </c>
      <c r="C191" s="7" t="s">
        <v>22</v>
      </c>
      <c r="D191" s="7" t="s">
        <v>11</v>
      </c>
      <c r="E191" s="7">
        <v>450</v>
      </c>
      <c r="F191" s="7">
        <v>47</v>
      </c>
      <c r="G191" s="8">
        <f t="shared" si="2"/>
        <v>21150</v>
      </c>
    </row>
    <row r="192" spans="1:7" ht="15.5" x14ac:dyDescent="0.35">
      <c r="A192" s="3">
        <v>45497</v>
      </c>
      <c r="B192" s="4" t="s">
        <v>10</v>
      </c>
      <c r="C192" s="4" t="s">
        <v>22</v>
      </c>
      <c r="D192" s="4" t="s">
        <v>14</v>
      </c>
      <c r="E192" s="4">
        <v>1499</v>
      </c>
      <c r="F192" s="4">
        <v>37</v>
      </c>
      <c r="G192" s="5">
        <f t="shared" si="2"/>
        <v>55463</v>
      </c>
    </row>
    <row r="193" spans="1:7" ht="15.5" x14ac:dyDescent="0.35">
      <c r="A193" s="6">
        <v>45500</v>
      </c>
      <c r="B193" s="7" t="s">
        <v>12</v>
      </c>
      <c r="C193" s="7" t="s">
        <v>20</v>
      </c>
      <c r="D193" s="7" t="s">
        <v>11</v>
      </c>
      <c r="E193" s="7">
        <v>79999</v>
      </c>
      <c r="F193" s="7">
        <v>4</v>
      </c>
      <c r="G193" s="8">
        <f t="shared" si="2"/>
        <v>319996</v>
      </c>
    </row>
    <row r="194" spans="1:7" ht="15.5" x14ac:dyDescent="0.35">
      <c r="A194" s="3">
        <v>45503</v>
      </c>
      <c r="B194" s="4" t="s">
        <v>12</v>
      </c>
      <c r="C194" s="4" t="s">
        <v>17</v>
      </c>
      <c r="D194" s="4" t="s">
        <v>21</v>
      </c>
      <c r="E194" s="4">
        <v>999</v>
      </c>
      <c r="F194" s="4">
        <v>45</v>
      </c>
      <c r="G194" s="5">
        <f t="shared" si="2"/>
        <v>44955</v>
      </c>
    </row>
    <row r="195" spans="1:7" ht="15.5" x14ac:dyDescent="0.35">
      <c r="A195" s="6">
        <v>45506</v>
      </c>
      <c r="B195" s="7" t="s">
        <v>19</v>
      </c>
      <c r="C195" s="7" t="s">
        <v>20</v>
      </c>
      <c r="D195" s="7" t="s">
        <v>9</v>
      </c>
      <c r="E195" s="7">
        <v>52000</v>
      </c>
      <c r="F195" s="7">
        <v>15</v>
      </c>
      <c r="G195" s="8">
        <f t="shared" ref="G195:G258" si="3">E195*F195</f>
        <v>780000</v>
      </c>
    </row>
    <row r="196" spans="1:7" ht="15.5" x14ac:dyDescent="0.35">
      <c r="A196" s="3">
        <v>45509</v>
      </c>
      <c r="B196" s="4" t="s">
        <v>19</v>
      </c>
      <c r="C196" s="4" t="s">
        <v>20</v>
      </c>
      <c r="D196" s="4" t="s">
        <v>18</v>
      </c>
      <c r="E196" s="4">
        <v>52000</v>
      </c>
      <c r="F196" s="4">
        <v>39</v>
      </c>
      <c r="G196" s="5">
        <f t="shared" si="3"/>
        <v>2028000</v>
      </c>
    </row>
    <row r="197" spans="1:7" ht="15.5" x14ac:dyDescent="0.35">
      <c r="A197" s="6">
        <v>45512</v>
      </c>
      <c r="B197" s="7" t="s">
        <v>19</v>
      </c>
      <c r="C197" s="7" t="s">
        <v>13</v>
      </c>
      <c r="D197" s="7" t="s">
        <v>14</v>
      </c>
      <c r="E197" s="7">
        <v>960</v>
      </c>
      <c r="F197" s="7">
        <v>33</v>
      </c>
      <c r="G197" s="8">
        <f t="shared" si="3"/>
        <v>31680</v>
      </c>
    </row>
    <row r="198" spans="1:7" ht="15.5" x14ac:dyDescent="0.35">
      <c r="A198" s="3">
        <v>45515</v>
      </c>
      <c r="B198" s="4" t="s">
        <v>19</v>
      </c>
      <c r="C198" s="4" t="s">
        <v>13</v>
      </c>
      <c r="D198" s="4" t="s">
        <v>14</v>
      </c>
      <c r="E198" s="4">
        <v>1450</v>
      </c>
      <c r="F198" s="4">
        <v>34</v>
      </c>
      <c r="G198" s="5">
        <f t="shared" si="3"/>
        <v>49300</v>
      </c>
    </row>
    <row r="199" spans="1:7" ht="15.5" x14ac:dyDescent="0.35">
      <c r="A199" s="6">
        <v>45518</v>
      </c>
      <c r="B199" s="7" t="s">
        <v>19</v>
      </c>
      <c r="C199" s="7" t="s">
        <v>16</v>
      </c>
      <c r="D199" s="7" t="s">
        <v>18</v>
      </c>
      <c r="E199" s="7">
        <v>2999</v>
      </c>
      <c r="F199" s="7">
        <v>33</v>
      </c>
      <c r="G199" s="8">
        <f t="shared" si="3"/>
        <v>98967</v>
      </c>
    </row>
    <row r="200" spans="1:7" ht="15.5" x14ac:dyDescent="0.35">
      <c r="A200" s="3">
        <v>45521</v>
      </c>
      <c r="B200" s="4" t="s">
        <v>12</v>
      </c>
      <c r="C200" s="4" t="s">
        <v>13</v>
      </c>
      <c r="D200" s="4" t="s">
        <v>21</v>
      </c>
      <c r="E200" s="4">
        <v>1250</v>
      </c>
      <c r="F200" s="4">
        <v>14</v>
      </c>
      <c r="G200" s="5">
        <f t="shared" si="3"/>
        <v>17500</v>
      </c>
    </row>
    <row r="201" spans="1:7" ht="15.5" x14ac:dyDescent="0.35">
      <c r="A201" s="6">
        <v>45524</v>
      </c>
      <c r="B201" s="7" t="s">
        <v>15</v>
      </c>
      <c r="C201" s="7" t="s">
        <v>17</v>
      </c>
      <c r="D201" s="7" t="s">
        <v>9</v>
      </c>
      <c r="E201" s="7">
        <v>120</v>
      </c>
      <c r="F201" s="7">
        <v>41</v>
      </c>
      <c r="G201" s="8">
        <f t="shared" si="3"/>
        <v>4920</v>
      </c>
    </row>
    <row r="202" spans="1:7" ht="15.5" x14ac:dyDescent="0.35">
      <c r="A202" s="3">
        <v>45527</v>
      </c>
      <c r="B202" s="4" t="s">
        <v>10</v>
      </c>
      <c r="C202" s="4" t="s">
        <v>8</v>
      </c>
      <c r="D202" s="4" t="s">
        <v>18</v>
      </c>
      <c r="E202" s="4">
        <v>1450</v>
      </c>
      <c r="F202" s="4">
        <v>22</v>
      </c>
      <c r="G202" s="5">
        <f t="shared" si="3"/>
        <v>31900</v>
      </c>
    </row>
    <row r="203" spans="1:7" ht="15.5" x14ac:dyDescent="0.35">
      <c r="A203" s="6">
        <v>45530</v>
      </c>
      <c r="B203" s="7" t="s">
        <v>10</v>
      </c>
      <c r="C203" s="7" t="s">
        <v>20</v>
      </c>
      <c r="D203" s="7" t="s">
        <v>9</v>
      </c>
      <c r="E203" s="7">
        <v>89999</v>
      </c>
      <c r="F203" s="7">
        <v>15</v>
      </c>
      <c r="G203" s="8">
        <f t="shared" si="3"/>
        <v>1349985</v>
      </c>
    </row>
    <row r="204" spans="1:7" ht="15.5" x14ac:dyDescent="0.35">
      <c r="A204" s="3">
        <v>45533</v>
      </c>
      <c r="B204" s="4" t="s">
        <v>23</v>
      </c>
      <c r="C204" s="4" t="s">
        <v>22</v>
      </c>
      <c r="D204" s="4" t="s">
        <v>14</v>
      </c>
      <c r="E204" s="4">
        <v>1999</v>
      </c>
      <c r="F204" s="4">
        <v>48</v>
      </c>
      <c r="G204" s="5">
        <f t="shared" si="3"/>
        <v>95952</v>
      </c>
    </row>
    <row r="205" spans="1:7" ht="15.5" x14ac:dyDescent="0.35">
      <c r="A205" s="6">
        <v>45536</v>
      </c>
      <c r="B205" s="7" t="s">
        <v>23</v>
      </c>
      <c r="C205" s="7" t="s">
        <v>16</v>
      </c>
      <c r="D205" s="7" t="s">
        <v>18</v>
      </c>
      <c r="E205" s="7">
        <v>2900</v>
      </c>
      <c r="F205" s="7">
        <v>49</v>
      </c>
      <c r="G205" s="8">
        <f t="shared" si="3"/>
        <v>142100</v>
      </c>
    </row>
    <row r="206" spans="1:7" ht="15.5" x14ac:dyDescent="0.35">
      <c r="A206" s="3">
        <v>45539</v>
      </c>
      <c r="B206" s="4" t="s">
        <v>19</v>
      </c>
      <c r="C206" s="4" t="s">
        <v>20</v>
      </c>
      <c r="D206" s="4" t="s">
        <v>21</v>
      </c>
      <c r="E206" s="4">
        <v>700</v>
      </c>
      <c r="F206" s="4">
        <v>50</v>
      </c>
      <c r="G206" s="5">
        <f t="shared" si="3"/>
        <v>35000</v>
      </c>
    </row>
    <row r="207" spans="1:7" ht="15.5" x14ac:dyDescent="0.35">
      <c r="A207" s="6">
        <v>45542</v>
      </c>
      <c r="B207" s="7" t="s">
        <v>15</v>
      </c>
      <c r="C207" s="7" t="s">
        <v>17</v>
      </c>
      <c r="D207" s="7" t="s">
        <v>18</v>
      </c>
      <c r="E207" s="7">
        <v>200</v>
      </c>
      <c r="F207" s="7">
        <v>41</v>
      </c>
      <c r="G207" s="8">
        <f t="shared" si="3"/>
        <v>8200</v>
      </c>
    </row>
    <row r="208" spans="1:7" ht="15.5" x14ac:dyDescent="0.35">
      <c r="A208" s="3">
        <v>45545</v>
      </c>
      <c r="B208" s="4" t="s">
        <v>7</v>
      </c>
      <c r="C208" s="4" t="s">
        <v>8</v>
      </c>
      <c r="D208" s="4" t="s">
        <v>14</v>
      </c>
      <c r="E208" s="4">
        <v>499</v>
      </c>
      <c r="F208" s="4">
        <v>29</v>
      </c>
      <c r="G208" s="5">
        <f t="shared" si="3"/>
        <v>14471</v>
      </c>
    </row>
    <row r="209" spans="1:7" ht="15.5" x14ac:dyDescent="0.35">
      <c r="A209" s="6">
        <v>45548</v>
      </c>
      <c r="B209" s="7" t="s">
        <v>12</v>
      </c>
      <c r="C209" s="7" t="s">
        <v>8</v>
      </c>
      <c r="D209" s="7" t="s">
        <v>24</v>
      </c>
      <c r="E209" s="7">
        <v>5599</v>
      </c>
      <c r="F209" s="7">
        <v>36</v>
      </c>
      <c r="G209" s="8">
        <f t="shared" si="3"/>
        <v>201564</v>
      </c>
    </row>
    <row r="210" spans="1:7" ht="15.5" x14ac:dyDescent="0.35">
      <c r="A210" s="3">
        <v>45551</v>
      </c>
      <c r="B210" s="4" t="s">
        <v>10</v>
      </c>
      <c r="C210" s="4" t="s">
        <v>17</v>
      </c>
      <c r="D210" s="4" t="s">
        <v>18</v>
      </c>
      <c r="E210" s="4">
        <v>100</v>
      </c>
      <c r="F210" s="4">
        <v>39</v>
      </c>
      <c r="G210" s="5">
        <f t="shared" si="3"/>
        <v>3900</v>
      </c>
    </row>
    <row r="211" spans="1:7" ht="15.5" x14ac:dyDescent="0.35">
      <c r="A211" s="6">
        <v>45554</v>
      </c>
      <c r="B211" s="7" t="s">
        <v>19</v>
      </c>
      <c r="C211" s="7" t="s">
        <v>16</v>
      </c>
      <c r="D211" s="7" t="s">
        <v>18</v>
      </c>
      <c r="E211" s="7">
        <v>79999</v>
      </c>
      <c r="F211" s="7">
        <v>9</v>
      </c>
      <c r="G211" s="8">
        <f t="shared" si="3"/>
        <v>719991</v>
      </c>
    </row>
    <row r="212" spans="1:7" ht="15.5" x14ac:dyDescent="0.35">
      <c r="A212" s="3">
        <v>45557</v>
      </c>
      <c r="B212" s="4" t="s">
        <v>12</v>
      </c>
      <c r="C212" s="4" t="s">
        <v>20</v>
      </c>
      <c r="D212" s="4" t="s">
        <v>14</v>
      </c>
      <c r="E212" s="4">
        <v>700</v>
      </c>
      <c r="F212" s="4">
        <v>38</v>
      </c>
      <c r="G212" s="5">
        <f t="shared" si="3"/>
        <v>26600</v>
      </c>
    </row>
    <row r="213" spans="1:7" ht="15.5" x14ac:dyDescent="0.35">
      <c r="A213" s="6">
        <v>45560</v>
      </c>
      <c r="B213" s="7" t="s">
        <v>19</v>
      </c>
      <c r="C213" s="7" t="s">
        <v>13</v>
      </c>
      <c r="D213" s="7" t="s">
        <v>9</v>
      </c>
      <c r="E213" s="7">
        <v>550</v>
      </c>
      <c r="F213" s="7">
        <v>25</v>
      </c>
      <c r="G213" s="8">
        <f t="shared" si="3"/>
        <v>13750</v>
      </c>
    </row>
    <row r="214" spans="1:7" ht="15.5" x14ac:dyDescent="0.35">
      <c r="A214" s="3">
        <v>45563</v>
      </c>
      <c r="B214" s="4" t="s">
        <v>23</v>
      </c>
      <c r="C214" s="4" t="s">
        <v>22</v>
      </c>
      <c r="D214" s="4" t="s">
        <v>18</v>
      </c>
      <c r="E214" s="4">
        <v>1499</v>
      </c>
      <c r="F214" s="4">
        <v>16</v>
      </c>
      <c r="G214" s="5">
        <f t="shared" si="3"/>
        <v>23984</v>
      </c>
    </row>
    <row r="215" spans="1:7" ht="15.5" x14ac:dyDescent="0.35">
      <c r="A215" s="6">
        <v>45566</v>
      </c>
      <c r="B215" s="7" t="s">
        <v>15</v>
      </c>
      <c r="C215" s="7" t="s">
        <v>17</v>
      </c>
      <c r="D215" s="7" t="s">
        <v>21</v>
      </c>
      <c r="E215" s="7">
        <v>120</v>
      </c>
      <c r="F215" s="7">
        <v>22</v>
      </c>
      <c r="G215" s="8">
        <f t="shared" si="3"/>
        <v>2640</v>
      </c>
    </row>
    <row r="216" spans="1:7" ht="15.5" x14ac:dyDescent="0.35">
      <c r="A216" s="3">
        <v>45569</v>
      </c>
      <c r="B216" s="4" t="s">
        <v>7</v>
      </c>
      <c r="C216" s="4" t="s">
        <v>8</v>
      </c>
      <c r="D216" s="4" t="s">
        <v>11</v>
      </c>
      <c r="E216" s="4">
        <v>1450</v>
      </c>
      <c r="F216" s="4">
        <v>20</v>
      </c>
      <c r="G216" s="5">
        <f t="shared" si="3"/>
        <v>29000</v>
      </c>
    </row>
    <row r="217" spans="1:7" ht="15.5" x14ac:dyDescent="0.35">
      <c r="A217" s="6">
        <v>45572</v>
      </c>
      <c r="B217" s="7" t="s">
        <v>23</v>
      </c>
      <c r="C217" s="7" t="s">
        <v>16</v>
      </c>
      <c r="D217" s="7" t="s">
        <v>14</v>
      </c>
      <c r="E217" s="7">
        <v>1999</v>
      </c>
      <c r="F217" s="7">
        <v>23</v>
      </c>
      <c r="G217" s="8">
        <f t="shared" si="3"/>
        <v>45977</v>
      </c>
    </row>
    <row r="218" spans="1:7" ht="15.5" x14ac:dyDescent="0.35">
      <c r="A218" s="3">
        <v>45575</v>
      </c>
      <c r="B218" s="4" t="s">
        <v>7</v>
      </c>
      <c r="C218" s="4" t="s">
        <v>8</v>
      </c>
      <c r="D218" s="4" t="s">
        <v>18</v>
      </c>
      <c r="E218" s="4">
        <v>800</v>
      </c>
      <c r="F218" s="4">
        <v>43</v>
      </c>
      <c r="G218" s="5">
        <f t="shared" si="3"/>
        <v>34400</v>
      </c>
    </row>
    <row r="219" spans="1:7" ht="15.5" x14ac:dyDescent="0.35">
      <c r="A219" s="6">
        <v>45578</v>
      </c>
      <c r="B219" s="7" t="s">
        <v>12</v>
      </c>
      <c r="C219" s="7" t="s">
        <v>17</v>
      </c>
      <c r="D219" s="7" t="s">
        <v>21</v>
      </c>
      <c r="E219" s="7">
        <v>100</v>
      </c>
      <c r="F219" s="7">
        <v>41</v>
      </c>
      <c r="G219" s="8">
        <f t="shared" si="3"/>
        <v>4100</v>
      </c>
    </row>
    <row r="220" spans="1:7" ht="15.5" x14ac:dyDescent="0.35">
      <c r="A220" s="3">
        <v>45581</v>
      </c>
      <c r="B220" s="4" t="s">
        <v>7</v>
      </c>
      <c r="C220" s="4" t="s">
        <v>8</v>
      </c>
      <c r="D220" s="4" t="s">
        <v>14</v>
      </c>
      <c r="E220" s="4">
        <v>13999</v>
      </c>
      <c r="F220" s="4">
        <v>37</v>
      </c>
      <c r="G220" s="5">
        <f t="shared" si="3"/>
        <v>517963</v>
      </c>
    </row>
    <row r="221" spans="1:7" ht="15.5" x14ac:dyDescent="0.35">
      <c r="A221" s="6">
        <v>45584</v>
      </c>
      <c r="B221" s="7" t="s">
        <v>19</v>
      </c>
      <c r="C221" s="7" t="s">
        <v>20</v>
      </c>
      <c r="D221" s="7" t="s">
        <v>18</v>
      </c>
      <c r="E221" s="7">
        <v>22000</v>
      </c>
      <c r="F221" s="7">
        <v>45</v>
      </c>
      <c r="G221" s="8">
        <f t="shared" si="3"/>
        <v>990000</v>
      </c>
    </row>
    <row r="222" spans="1:7" ht="15.5" x14ac:dyDescent="0.35">
      <c r="A222" s="3">
        <v>45587</v>
      </c>
      <c r="B222" s="4" t="s">
        <v>19</v>
      </c>
      <c r="C222" s="4" t="s">
        <v>20</v>
      </c>
      <c r="D222" s="4" t="s">
        <v>24</v>
      </c>
      <c r="E222" s="4">
        <v>89999</v>
      </c>
      <c r="F222" s="4">
        <v>15</v>
      </c>
      <c r="G222" s="5">
        <f t="shared" si="3"/>
        <v>1349985</v>
      </c>
    </row>
    <row r="223" spans="1:7" ht="15.5" x14ac:dyDescent="0.35">
      <c r="A223" s="6">
        <v>45590</v>
      </c>
      <c r="B223" s="7" t="s">
        <v>10</v>
      </c>
      <c r="C223" s="7" t="s">
        <v>16</v>
      </c>
      <c r="D223" s="7" t="s">
        <v>18</v>
      </c>
      <c r="E223" s="7">
        <v>13999</v>
      </c>
      <c r="F223" s="7">
        <v>22</v>
      </c>
      <c r="G223" s="8">
        <f t="shared" si="3"/>
        <v>307978</v>
      </c>
    </row>
    <row r="224" spans="1:7" ht="15.5" x14ac:dyDescent="0.35">
      <c r="A224" s="3">
        <v>45593</v>
      </c>
      <c r="B224" s="4" t="s">
        <v>12</v>
      </c>
      <c r="C224" s="4" t="s">
        <v>22</v>
      </c>
      <c r="D224" s="4" t="s">
        <v>14</v>
      </c>
      <c r="E224" s="4">
        <v>2900</v>
      </c>
      <c r="F224" s="4">
        <v>20</v>
      </c>
      <c r="G224" s="5">
        <f t="shared" si="3"/>
        <v>58000</v>
      </c>
    </row>
    <row r="225" spans="1:7" ht="15.5" x14ac:dyDescent="0.35">
      <c r="A225" s="6">
        <v>45596</v>
      </c>
      <c r="B225" s="7" t="s">
        <v>10</v>
      </c>
      <c r="C225" s="7" t="s">
        <v>20</v>
      </c>
      <c r="D225" s="7" t="s">
        <v>18</v>
      </c>
      <c r="E225" s="7">
        <v>33000</v>
      </c>
      <c r="F225" s="7">
        <v>16</v>
      </c>
      <c r="G225" s="8">
        <f t="shared" si="3"/>
        <v>528000</v>
      </c>
    </row>
    <row r="226" spans="1:7" ht="15.5" x14ac:dyDescent="0.35">
      <c r="A226" s="3">
        <v>45599</v>
      </c>
      <c r="B226" s="4" t="s">
        <v>19</v>
      </c>
      <c r="C226" s="4" t="s">
        <v>16</v>
      </c>
      <c r="D226" s="4" t="s">
        <v>11</v>
      </c>
      <c r="E226" s="4">
        <v>22000</v>
      </c>
      <c r="F226" s="4">
        <v>17</v>
      </c>
      <c r="G226" s="5">
        <f t="shared" si="3"/>
        <v>374000</v>
      </c>
    </row>
    <row r="227" spans="1:7" ht="15.5" x14ac:dyDescent="0.35">
      <c r="A227" s="6">
        <v>45602</v>
      </c>
      <c r="B227" s="7" t="s">
        <v>23</v>
      </c>
      <c r="C227" s="7" t="s">
        <v>22</v>
      </c>
      <c r="D227" s="7" t="s">
        <v>11</v>
      </c>
      <c r="E227" s="7">
        <v>699</v>
      </c>
      <c r="F227" s="7">
        <v>50</v>
      </c>
      <c r="G227" s="8">
        <f t="shared" si="3"/>
        <v>34950</v>
      </c>
    </row>
    <row r="228" spans="1:7" ht="15.5" x14ac:dyDescent="0.35">
      <c r="A228" s="3">
        <v>45605</v>
      </c>
      <c r="B228" s="4" t="s">
        <v>12</v>
      </c>
      <c r="C228" s="4" t="s">
        <v>20</v>
      </c>
      <c r="D228" s="4" t="s">
        <v>14</v>
      </c>
      <c r="E228" s="4">
        <v>499</v>
      </c>
      <c r="F228" s="4">
        <v>4</v>
      </c>
      <c r="G228" s="5">
        <f t="shared" si="3"/>
        <v>1996</v>
      </c>
    </row>
    <row r="229" spans="1:7" ht="15.5" x14ac:dyDescent="0.35">
      <c r="A229" s="6">
        <v>45608</v>
      </c>
      <c r="B229" s="7" t="s">
        <v>23</v>
      </c>
      <c r="C229" s="7" t="s">
        <v>22</v>
      </c>
      <c r="D229" s="7" t="s">
        <v>18</v>
      </c>
      <c r="E229" s="7">
        <v>590</v>
      </c>
      <c r="F229" s="7">
        <v>43</v>
      </c>
      <c r="G229" s="8">
        <f t="shared" si="3"/>
        <v>25370</v>
      </c>
    </row>
    <row r="230" spans="1:7" ht="15.5" x14ac:dyDescent="0.35">
      <c r="A230" s="3">
        <v>45611</v>
      </c>
      <c r="B230" s="4" t="s">
        <v>23</v>
      </c>
      <c r="C230" s="4" t="s">
        <v>22</v>
      </c>
      <c r="D230" s="4" t="s">
        <v>11</v>
      </c>
      <c r="E230" s="4">
        <v>590</v>
      </c>
      <c r="F230" s="4">
        <v>42</v>
      </c>
      <c r="G230" s="5">
        <f t="shared" si="3"/>
        <v>24780</v>
      </c>
    </row>
    <row r="231" spans="1:7" ht="15.5" x14ac:dyDescent="0.35">
      <c r="A231" s="6">
        <v>45614</v>
      </c>
      <c r="B231" s="7" t="s">
        <v>15</v>
      </c>
      <c r="C231" s="7" t="s">
        <v>17</v>
      </c>
      <c r="D231" s="7" t="s">
        <v>9</v>
      </c>
      <c r="E231" s="7">
        <v>120</v>
      </c>
      <c r="F231" s="7">
        <v>9</v>
      </c>
      <c r="G231" s="8">
        <f t="shared" si="3"/>
        <v>1080</v>
      </c>
    </row>
    <row r="232" spans="1:7" ht="15.5" x14ac:dyDescent="0.35">
      <c r="A232" s="3">
        <v>45617</v>
      </c>
      <c r="B232" s="4" t="s">
        <v>12</v>
      </c>
      <c r="C232" s="4" t="s">
        <v>20</v>
      </c>
      <c r="D232" s="4" t="s">
        <v>24</v>
      </c>
      <c r="E232" s="4">
        <v>52000</v>
      </c>
      <c r="F232" s="4">
        <v>40</v>
      </c>
      <c r="G232" s="5">
        <f t="shared" si="3"/>
        <v>2080000</v>
      </c>
    </row>
    <row r="233" spans="1:7" ht="15.5" x14ac:dyDescent="0.35">
      <c r="A233" s="6">
        <v>45620</v>
      </c>
      <c r="B233" s="7" t="s">
        <v>19</v>
      </c>
      <c r="C233" s="7" t="s">
        <v>16</v>
      </c>
      <c r="D233" s="7" t="s">
        <v>18</v>
      </c>
      <c r="E233" s="7">
        <v>7999</v>
      </c>
      <c r="F233" s="7">
        <v>14</v>
      </c>
      <c r="G233" s="8">
        <f t="shared" si="3"/>
        <v>111986</v>
      </c>
    </row>
    <row r="234" spans="1:7" ht="15.5" x14ac:dyDescent="0.35">
      <c r="A234" s="3">
        <v>45623</v>
      </c>
      <c r="B234" s="4" t="s">
        <v>12</v>
      </c>
      <c r="C234" s="4" t="s">
        <v>13</v>
      </c>
      <c r="D234" s="4" t="s">
        <v>21</v>
      </c>
      <c r="E234" s="4">
        <v>550</v>
      </c>
      <c r="F234" s="4">
        <v>9</v>
      </c>
      <c r="G234" s="5">
        <f t="shared" si="3"/>
        <v>4950</v>
      </c>
    </row>
    <row r="235" spans="1:7" ht="15.5" x14ac:dyDescent="0.35">
      <c r="A235" s="6">
        <v>45626</v>
      </c>
      <c r="B235" s="7" t="s">
        <v>19</v>
      </c>
      <c r="C235" s="7" t="s">
        <v>20</v>
      </c>
      <c r="D235" s="7" t="s">
        <v>18</v>
      </c>
      <c r="E235" s="7">
        <v>79999</v>
      </c>
      <c r="F235" s="7">
        <v>10</v>
      </c>
      <c r="G235" s="8">
        <f t="shared" si="3"/>
        <v>799990</v>
      </c>
    </row>
    <row r="236" spans="1:7" ht="15.5" x14ac:dyDescent="0.35">
      <c r="A236" s="3">
        <v>45629</v>
      </c>
      <c r="B236" s="4" t="s">
        <v>10</v>
      </c>
      <c r="C236" s="4" t="s">
        <v>16</v>
      </c>
      <c r="D236" s="4" t="s">
        <v>11</v>
      </c>
      <c r="E236" s="4">
        <v>1999</v>
      </c>
      <c r="F236" s="4">
        <v>37</v>
      </c>
      <c r="G236" s="5">
        <f t="shared" si="3"/>
        <v>73963</v>
      </c>
    </row>
    <row r="237" spans="1:7" ht="15.5" x14ac:dyDescent="0.35">
      <c r="A237" s="6">
        <v>45632</v>
      </c>
      <c r="B237" s="7" t="s">
        <v>12</v>
      </c>
      <c r="C237" s="7" t="s">
        <v>20</v>
      </c>
      <c r="D237" s="7" t="s">
        <v>18</v>
      </c>
      <c r="E237" s="7">
        <v>89999</v>
      </c>
      <c r="F237" s="7">
        <v>29</v>
      </c>
      <c r="G237" s="8">
        <f t="shared" si="3"/>
        <v>2609971</v>
      </c>
    </row>
    <row r="238" spans="1:7" ht="15.5" x14ac:dyDescent="0.35">
      <c r="A238" s="3">
        <v>45635</v>
      </c>
      <c r="B238" s="4" t="s">
        <v>19</v>
      </c>
      <c r="C238" s="4" t="s">
        <v>20</v>
      </c>
      <c r="D238" s="4" t="s">
        <v>9</v>
      </c>
      <c r="E238" s="4">
        <v>799</v>
      </c>
      <c r="F238" s="4">
        <v>44</v>
      </c>
      <c r="G238" s="5">
        <f t="shared" si="3"/>
        <v>35156</v>
      </c>
    </row>
    <row r="239" spans="1:7" ht="15.5" x14ac:dyDescent="0.35">
      <c r="A239" s="6">
        <v>45638</v>
      </c>
      <c r="B239" s="7" t="s">
        <v>19</v>
      </c>
      <c r="C239" s="7" t="s">
        <v>20</v>
      </c>
      <c r="D239" s="7" t="s">
        <v>24</v>
      </c>
      <c r="E239" s="7">
        <v>3990</v>
      </c>
      <c r="F239" s="7">
        <v>31</v>
      </c>
      <c r="G239" s="8">
        <f t="shared" si="3"/>
        <v>123690</v>
      </c>
    </row>
    <row r="240" spans="1:7" ht="15.5" x14ac:dyDescent="0.35">
      <c r="A240" s="3">
        <v>45641</v>
      </c>
      <c r="B240" s="4" t="s">
        <v>12</v>
      </c>
      <c r="C240" s="4" t="s">
        <v>16</v>
      </c>
      <c r="D240" s="4" t="s">
        <v>14</v>
      </c>
      <c r="E240" s="4">
        <v>52000</v>
      </c>
      <c r="F240" s="4">
        <v>29</v>
      </c>
      <c r="G240" s="5">
        <f t="shared" si="3"/>
        <v>1508000</v>
      </c>
    </row>
    <row r="241" spans="1:7" ht="15.5" x14ac:dyDescent="0.35">
      <c r="A241" s="6">
        <v>45644</v>
      </c>
      <c r="B241" s="7" t="s">
        <v>7</v>
      </c>
      <c r="C241" s="7" t="s">
        <v>8</v>
      </c>
      <c r="D241" s="7" t="s">
        <v>18</v>
      </c>
      <c r="E241" s="7">
        <v>13999</v>
      </c>
      <c r="F241" s="7">
        <v>34</v>
      </c>
      <c r="G241" s="8">
        <f t="shared" si="3"/>
        <v>475966</v>
      </c>
    </row>
    <row r="242" spans="1:7" ht="15.5" x14ac:dyDescent="0.35">
      <c r="A242" s="3">
        <v>45647</v>
      </c>
      <c r="B242" s="4" t="s">
        <v>12</v>
      </c>
      <c r="C242" s="4" t="s">
        <v>17</v>
      </c>
      <c r="D242" s="4" t="s">
        <v>14</v>
      </c>
      <c r="E242" s="4">
        <v>120</v>
      </c>
      <c r="F242" s="4">
        <v>29</v>
      </c>
      <c r="G242" s="5">
        <f t="shared" si="3"/>
        <v>3480</v>
      </c>
    </row>
    <row r="243" spans="1:7" ht="15.5" x14ac:dyDescent="0.35">
      <c r="A243" s="6">
        <v>45650</v>
      </c>
      <c r="B243" s="7" t="s">
        <v>19</v>
      </c>
      <c r="C243" s="7" t="s">
        <v>13</v>
      </c>
      <c r="D243" s="7" t="s">
        <v>9</v>
      </c>
      <c r="E243" s="7">
        <v>23999</v>
      </c>
      <c r="F243" s="7">
        <v>25</v>
      </c>
      <c r="G243" s="8">
        <f t="shared" si="3"/>
        <v>599975</v>
      </c>
    </row>
    <row r="244" spans="1:7" ht="15.5" x14ac:dyDescent="0.35">
      <c r="A244" s="3">
        <v>45653</v>
      </c>
      <c r="B244" s="4" t="s">
        <v>12</v>
      </c>
      <c r="C244" s="4" t="s">
        <v>13</v>
      </c>
      <c r="D244" s="4" t="s">
        <v>18</v>
      </c>
      <c r="E244" s="4">
        <v>1250</v>
      </c>
      <c r="F244" s="4">
        <v>31</v>
      </c>
      <c r="G244" s="5">
        <f t="shared" si="3"/>
        <v>38750</v>
      </c>
    </row>
    <row r="245" spans="1:7" ht="15.5" x14ac:dyDescent="0.35">
      <c r="A245" s="6">
        <v>45656</v>
      </c>
      <c r="B245" s="7" t="s">
        <v>23</v>
      </c>
      <c r="C245" s="7" t="s">
        <v>16</v>
      </c>
      <c r="D245" s="7" t="s">
        <v>18</v>
      </c>
      <c r="E245" s="7">
        <v>45000</v>
      </c>
      <c r="F245" s="7">
        <v>16</v>
      </c>
      <c r="G245" s="8">
        <f t="shared" si="3"/>
        <v>720000</v>
      </c>
    </row>
    <row r="246" spans="1:7" ht="15.5" x14ac:dyDescent="0.35">
      <c r="A246" s="3">
        <v>45659</v>
      </c>
      <c r="B246" s="4" t="s">
        <v>10</v>
      </c>
      <c r="C246" s="4" t="s">
        <v>17</v>
      </c>
      <c r="D246" s="4" t="s">
        <v>14</v>
      </c>
      <c r="E246" s="4">
        <v>120</v>
      </c>
      <c r="F246" s="4">
        <v>48</v>
      </c>
      <c r="G246" s="5">
        <f t="shared" si="3"/>
        <v>5760</v>
      </c>
    </row>
    <row r="247" spans="1:7" ht="15.5" x14ac:dyDescent="0.35">
      <c r="A247" s="6">
        <v>45662</v>
      </c>
      <c r="B247" s="7" t="s">
        <v>12</v>
      </c>
      <c r="C247" s="7" t="s">
        <v>16</v>
      </c>
      <c r="D247" s="7" t="s">
        <v>21</v>
      </c>
      <c r="E247" s="7">
        <v>25600</v>
      </c>
      <c r="F247" s="7">
        <v>22</v>
      </c>
      <c r="G247" s="8">
        <f t="shared" si="3"/>
        <v>563200</v>
      </c>
    </row>
    <row r="248" spans="1:7" ht="15.5" x14ac:dyDescent="0.35">
      <c r="A248" s="3">
        <v>45665</v>
      </c>
      <c r="B248" s="4" t="s">
        <v>23</v>
      </c>
      <c r="C248" s="4" t="s">
        <v>22</v>
      </c>
      <c r="D248" s="4" t="s">
        <v>18</v>
      </c>
      <c r="E248" s="4">
        <v>699</v>
      </c>
      <c r="F248" s="4">
        <v>6</v>
      </c>
      <c r="G248" s="5">
        <f t="shared" si="3"/>
        <v>4194</v>
      </c>
    </row>
    <row r="249" spans="1:7" ht="15.5" x14ac:dyDescent="0.35">
      <c r="A249" s="6">
        <v>45668</v>
      </c>
      <c r="B249" s="7" t="s">
        <v>23</v>
      </c>
      <c r="C249" s="7" t="s">
        <v>16</v>
      </c>
      <c r="D249" s="7" t="s">
        <v>14</v>
      </c>
      <c r="E249" s="7">
        <v>99620</v>
      </c>
      <c r="F249" s="7">
        <v>12</v>
      </c>
      <c r="G249" s="8">
        <f t="shared" si="3"/>
        <v>1195440</v>
      </c>
    </row>
    <row r="250" spans="1:7" ht="15.5" x14ac:dyDescent="0.35">
      <c r="A250" s="3">
        <v>45671</v>
      </c>
      <c r="B250" s="4" t="s">
        <v>12</v>
      </c>
      <c r="C250" s="4" t="s">
        <v>22</v>
      </c>
      <c r="D250" s="4" t="s">
        <v>24</v>
      </c>
      <c r="E250" s="4">
        <v>450</v>
      </c>
      <c r="F250" s="4">
        <v>44</v>
      </c>
      <c r="G250" s="5">
        <f t="shared" si="3"/>
        <v>19800</v>
      </c>
    </row>
    <row r="251" spans="1:7" ht="15.5" x14ac:dyDescent="0.35">
      <c r="A251" s="6">
        <v>45674</v>
      </c>
      <c r="B251" s="7" t="s">
        <v>23</v>
      </c>
      <c r="C251" s="7" t="s">
        <v>22</v>
      </c>
      <c r="D251" s="7" t="s">
        <v>14</v>
      </c>
      <c r="E251" s="7">
        <v>1499</v>
      </c>
      <c r="F251" s="7">
        <v>15</v>
      </c>
      <c r="G251" s="8">
        <f t="shared" si="3"/>
        <v>22485</v>
      </c>
    </row>
    <row r="252" spans="1:7" ht="15.5" x14ac:dyDescent="0.35">
      <c r="A252" s="3">
        <v>45677</v>
      </c>
      <c r="B252" s="4" t="s">
        <v>7</v>
      </c>
      <c r="C252" s="4" t="s">
        <v>16</v>
      </c>
      <c r="D252" s="4" t="s">
        <v>21</v>
      </c>
      <c r="E252" s="4">
        <v>49500</v>
      </c>
      <c r="F252" s="4">
        <v>26</v>
      </c>
      <c r="G252" s="5">
        <f t="shared" si="3"/>
        <v>1287000</v>
      </c>
    </row>
    <row r="253" spans="1:7" ht="15.5" x14ac:dyDescent="0.35">
      <c r="A253" s="6">
        <v>45680</v>
      </c>
      <c r="B253" s="7" t="s">
        <v>10</v>
      </c>
      <c r="C253" s="7" t="s">
        <v>13</v>
      </c>
      <c r="D253" s="7" t="s">
        <v>21</v>
      </c>
      <c r="E253" s="7">
        <v>960</v>
      </c>
      <c r="F253" s="7">
        <v>16</v>
      </c>
      <c r="G253" s="8">
        <f t="shared" si="3"/>
        <v>15360</v>
      </c>
    </row>
    <row r="254" spans="1:7" ht="15.5" x14ac:dyDescent="0.35">
      <c r="A254" s="3">
        <v>45683</v>
      </c>
      <c r="B254" s="4" t="s">
        <v>12</v>
      </c>
      <c r="C254" s="4" t="s">
        <v>8</v>
      </c>
      <c r="D254" s="4" t="s">
        <v>18</v>
      </c>
      <c r="E254" s="4">
        <v>5599</v>
      </c>
      <c r="F254" s="4">
        <v>35</v>
      </c>
      <c r="G254" s="5">
        <f t="shared" si="3"/>
        <v>195965</v>
      </c>
    </row>
    <row r="255" spans="1:7" ht="15.5" x14ac:dyDescent="0.35">
      <c r="A255" s="6">
        <v>45686</v>
      </c>
      <c r="B255" s="7" t="s">
        <v>15</v>
      </c>
      <c r="C255" s="7" t="s">
        <v>17</v>
      </c>
      <c r="D255" s="7" t="s">
        <v>9</v>
      </c>
      <c r="E255" s="7">
        <v>89</v>
      </c>
      <c r="F255" s="7">
        <v>36</v>
      </c>
      <c r="G255" s="8">
        <f t="shared" si="3"/>
        <v>3204</v>
      </c>
    </row>
    <row r="256" spans="1:7" ht="15.5" x14ac:dyDescent="0.35">
      <c r="A256" s="3">
        <v>45689</v>
      </c>
      <c r="B256" s="4" t="s">
        <v>7</v>
      </c>
      <c r="C256" s="4" t="s">
        <v>8</v>
      </c>
      <c r="D256" s="4" t="s">
        <v>24</v>
      </c>
      <c r="E256" s="4">
        <v>2550</v>
      </c>
      <c r="F256" s="4">
        <v>20</v>
      </c>
      <c r="G256" s="5">
        <f t="shared" si="3"/>
        <v>51000</v>
      </c>
    </row>
    <row r="257" spans="1:7" ht="15.5" x14ac:dyDescent="0.35">
      <c r="A257" s="6">
        <v>45692</v>
      </c>
      <c r="B257" s="7" t="s">
        <v>12</v>
      </c>
      <c r="C257" s="7" t="s">
        <v>16</v>
      </c>
      <c r="D257" s="7" t="s">
        <v>9</v>
      </c>
      <c r="E257" s="7">
        <v>14500</v>
      </c>
      <c r="F257" s="7">
        <v>47</v>
      </c>
      <c r="G257" s="8">
        <f t="shared" si="3"/>
        <v>681500</v>
      </c>
    </row>
    <row r="258" spans="1:7" ht="15.5" x14ac:dyDescent="0.35">
      <c r="A258" s="3">
        <v>45695</v>
      </c>
      <c r="B258" s="4" t="s">
        <v>23</v>
      </c>
      <c r="C258" s="4" t="s">
        <v>22</v>
      </c>
      <c r="D258" s="4" t="s">
        <v>18</v>
      </c>
      <c r="E258" s="4">
        <v>2900</v>
      </c>
      <c r="F258" s="4">
        <v>6</v>
      </c>
      <c r="G258" s="5">
        <f t="shared" si="3"/>
        <v>17400</v>
      </c>
    </row>
    <row r="259" spans="1:7" ht="15.5" x14ac:dyDescent="0.35">
      <c r="A259" s="6">
        <v>45698</v>
      </c>
      <c r="B259" s="7" t="s">
        <v>15</v>
      </c>
      <c r="C259" s="7" t="s">
        <v>17</v>
      </c>
      <c r="D259" s="7" t="s">
        <v>21</v>
      </c>
      <c r="E259" s="7">
        <v>120</v>
      </c>
      <c r="F259" s="7">
        <v>6</v>
      </c>
      <c r="G259" s="8">
        <f t="shared" ref="G259:G313" si="4">E259*F259</f>
        <v>720</v>
      </c>
    </row>
    <row r="260" spans="1:7" ht="15.5" x14ac:dyDescent="0.35">
      <c r="A260" s="3">
        <v>45701</v>
      </c>
      <c r="B260" s="4" t="s">
        <v>19</v>
      </c>
      <c r="C260" s="4" t="s">
        <v>16</v>
      </c>
      <c r="D260" s="4" t="s">
        <v>14</v>
      </c>
      <c r="E260" s="4">
        <v>52000</v>
      </c>
      <c r="F260" s="4">
        <v>41</v>
      </c>
      <c r="G260" s="5">
        <f t="shared" si="4"/>
        <v>2132000</v>
      </c>
    </row>
    <row r="261" spans="1:7" ht="15.5" x14ac:dyDescent="0.35">
      <c r="A261" s="6">
        <v>45704</v>
      </c>
      <c r="B261" s="7" t="s">
        <v>10</v>
      </c>
      <c r="C261" s="7" t="s">
        <v>22</v>
      </c>
      <c r="D261" s="7" t="s">
        <v>11</v>
      </c>
      <c r="E261" s="7">
        <v>590</v>
      </c>
      <c r="F261" s="7">
        <v>29</v>
      </c>
      <c r="G261" s="8">
        <f t="shared" si="4"/>
        <v>17110</v>
      </c>
    </row>
    <row r="262" spans="1:7" ht="15.5" x14ac:dyDescent="0.35">
      <c r="A262" s="3">
        <v>45707</v>
      </c>
      <c r="B262" s="4" t="s">
        <v>19</v>
      </c>
      <c r="C262" s="4" t="s">
        <v>13</v>
      </c>
      <c r="D262" s="4" t="s">
        <v>21</v>
      </c>
      <c r="E262" s="4">
        <v>7999</v>
      </c>
      <c r="F262" s="4">
        <v>31</v>
      </c>
      <c r="G262" s="5">
        <f t="shared" si="4"/>
        <v>247969</v>
      </c>
    </row>
    <row r="263" spans="1:7" ht="15.5" x14ac:dyDescent="0.35">
      <c r="A263" s="6">
        <v>45710</v>
      </c>
      <c r="B263" s="7" t="s">
        <v>12</v>
      </c>
      <c r="C263" s="7" t="s">
        <v>17</v>
      </c>
      <c r="D263" s="7" t="s">
        <v>11</v>
      </c>
      <c r="E263" s="7">
        <v>999</v>
      </c>
      <c r="F263" s="7">
        <v>34</v>
      </c>
      <c r="G263" s="8">
        <f t="shared" si="4"/>
        <v>33966</v>
      </c>
    </row>
    <row r="264" spans="1:7" ht="15.5" x14ac:dyDescent="0.35">
      <c r="A264" s="3">
        <v>45713</v>
      </c>
      <c r="B264" s="4" t="s">
        <v>23</v>
      </c>
      <c r="C264" s="4" t="s">
        <v>16</v>
      </c>
      <c r="D264" s="4" t="s">
        <v>14</v>
      </c>
      <c r="E264" s="4">
        <v>990</v>
      </c>
      <c r="F264" s="4">
        <v>43</v>
      </c>
      <c r="G264" s="5">
        <f t="shared" si="4"/>
        <v>42570</v>
      </c>
    </row>
    <row r="265" spans="1:7" ht="15.5" x14ac:dyDescent="0.35">
      <c r="A265" s="6">
        <v>45716</v>
      </c>
      <c r="B265" s="7" t="s">
        <v>12</v>
      </c>
      <c r="C265" s="7" t="s">
        <v>20</v>
      </c>
      <c r="D265" s="7" t="s">
        <v>9</v>
      </c>
      <c r="E265" s="7">
        <v>11999</v>
      </c>
      <c r="F265" s="7">
        <v>37</v>
      </c>
      <c r="G265" s="8">
        <f t="shared" si="4"/>
        <v>443963</v>
      </c>
    </row>
    <row r="266" spans="1:7" ht="15.5" x14ac:dyDescent="0.35">
      <c r="A266" s="3">
        <v>45719</v>
      </c>
      <c r="B266" s="4" t="s">
        <v>10</v>
      </c>
      <c r="C266" s="4" t="s">
        <v>13</v>
      </c>
      <c r="D266" s="4" t="s">
        <v>9</v>
      </c>
      <c r="E266" s="4">
        <v>960</v>
      </c>
      <c r="F266" s="4">
        <v>7</v>
      </c>
      <c r="G266" s="5">
        <f t="shared" si="4"/>
        <v>6720</v>
      </c>
    </row>
    <row r="267" spans="1:7" ht="15.5" x14ac:dyDescent="0.35">
      <c r="A267" s="6">
        <v>45722</v>
      </c>
      <c r="B267" s="7" t="s">
        <v>7</v>
      </c>
      <c r="C267" s="7" t="s">
        <v>8</v>
      </c>
      <c r="D267" s="7" t="s">
        <v>14</v>
      </c>
      <c r="E267" s="7">
        <v>1450</v>
      </c>
      <c r="F267" s="7">
        <v>19</v>
      </c>
      <c r="G267" s="8">
        <f t="shared" si="4"/>
        <v>27550</v>
      </c>
    </row>
    <row r="268" spans="1:7" ht="15.5" x14ac:dyDescent="0.35">
      <c r="A268" s="3">
        <v>45725</v>
      </c>
      <c r="B268" s="4" t="s">
        <v>23</v>
      </c>
      <c r="C268" s="4" t="s">
        <v>22</v>
      </c>
      <c r="D268" s="4" t="s">
        <v>11</v>
      </c>
      <c r="E268" s="4">
        <v>450</v>
      </c>
      <c r="F268" s="4">
        <v>47</v>
      </c>
      <c r="G268" s="5">
        <f t="shared" si="4"/>
        <v>21150</v>
      </c>
    </row>
    <row r="269" spans="1:7" ht="15.5" x14ac:dyDescent="0.35">
      <c r="A269" s="6">
        <v>45728</v>
      </c>
      <c r="B269" s="7" t="s">
        <v>12</v>
      </c>
      <c r="C269" s="7" t="s">
        <v>16</v>
      </c>
      <c r="D269" s="7" t="s">
        <v>11</v>
      </c>
      <c r="E269" s="7">
        <v>1499</v>
      </c>
      <c r="F269" s="7">
        <v>37</v>
      </c>
      <c r="G269" s="8">
        <f t="shared" si="4"/>
        <v>55463</v>
      </c>
    </row>
    <row r="270" spans="1:7" ht="15.5" x14ac:dyDescent="0.35">
      <c r="A270" s="3">
        <v>45731</v>
      </c>
      <c r="B270" s="4" t="s">
        <v>19</v>
      </c>
      <c r="C270" s="4" t="s">
        <v>20</v>
      </c>
      <c r="D270" s="4" t="s">
        <v>11</v>
      </c>
      <c r="E270" s="4">
        <v>79999</v>
      </c>
      <c r="F270" s="4">
        <v>4</v>
      </c>
      <c r="G270" s="5">
        <f t="shared" si="4"/>
        <v>319996</v>
      </c>
    </row>
    <row r="271" spans="1:7" ht="15.5" x14ac:dyDescent="0.35">
      <c r="A271" s="6">
        <v>45734</v>
      </c>
      <c r="B271" s="7" t="s">
        <v>12</v>
      </c>
      <c r="C271" s="7" t="s">
        <v>17</v>
      </c>
      <c r="D271" s="7" t="s">
        <v>21</v>
      </c>
      <c r="E271" s="7">
        <v>999</v>
      </c>
      <c r="F271" s="7">
        <v>45</v>
      </c>
      <c r="G271" s="8">
        <f t="shared" si="4"/>
        <v>44955</v>
      </c>
    </row>
    <row r="272" spans="1:7" ht="15.5" x14ac:dyDescent="0.35">
      <c r="A272" s="3">
        <v>45737</v>
      </c>
      <c r="B272" s="4" t="s">
        <v>19</v>
      </c>
      <c r="C272" s="4" t="s">
        <v>20</v>
      </c>
      <c r="D272" s="4" t="s">
        <v>9</v>
      </c>
      <c r="E272" s="4">
        <v>52000</v>
      </c>
      <c r="F272" s="4">
        <v>15</v>
      </c>
      <c r="G272" s="5">
        <f t="shared" si="4"/>
        <v>780000</v>
      </c>
    </row>
    <row r="273" spans="1:7" ht="15.5" x14ac:dyDescent="0.35">
      <c r="A273" s="6">
        <v>45740</v>
      </c>
      <c r="B273" s="7" t="s">
        <v>10</v>
      </c>
      <c r="C273" s="7" t="s">
        <v>20</v>
      </c>
      <c r="D273" s="7" t="s">
        <v>18</v>
      </c>
      <c r="E273" s="7">
        <v>52000</v>
      </c>
      <c r="F273" s="7">
        <v>39</v>
      </c>
      <c r="G273" s="8">
        <f t="shared" si="4"/>
        <v>2028000</v>
      </c>
    </row>
    <row r="274" spans="1:7" ht="15.5" x14ac:dyDescent="0.35">
      <c r="A274" s="3">
        <v>45743</v>
      </c>
      <c r="B274" s="4" t="s">
        <v>12</v>
      </c>
      <c r="C274" s="4" t="s">
        <v>13</v>
      </c>
      <c r="D274" s="4" t="s">
        <v>18</v>
      </c>
      <c r="E274" s="4">
        <v>960</v>
      </c>
      <c r="F274" s="4">
        <v>33</v>
      </c>
      <c r="G274" s="5">
        <f t="shared" si="4"/>
        <v>31680</v>
      </c>
    </row>
    <row r="275" spans="1:7" ht="15.5" x14ac:dyDescent="0.35">
      <c r="A275" s="6">
        <v>45746</v>
      </c>
      <c r="B275" s="9" t="s">
        <v>19</v>
      </c>
      <c r="C275" s="9" t="s">
        <v>13</v>
      </c>
      <c r="D275" s="9" t="s">
        <v>14</v>
      </c>
      <c r="E275" s="9">
        <v>1450</v>
      </c>
      <c r="F275" s="9">
        <v>34</v>
      </c>
      <c r="G275" s="10">
        <f t="shared" si="4"/>
        <v>49300</v>
      </c>
    </row>
    <row r="276" spans="1:7" ht="15.5" x14ac:dyDescent="0.35">
      <c r="A276" s="3">
        <v>45749</v>
      </c>
      <c r="B276" s="4" t="s">
        <v>23</v>
      </c>
      <c r="C276" s="4" t="s">
        <v>22</v>
      </c>
      <c r="D276" s="4" t="s">
        <v>24</v>
      </c>
      <c r="E276" s="4">
        <v>2500</v>
      </c>
      <c r="F276" s="4">
        <v>100</v>
      </c>
      <c r="G276" s="5">
        <f t="shared" si="4"/>
        <v>250000</v>
      </c>
    </row>
    <row r="277" spans="1:7" ht="15.5" x14ac:dyDescent="0.35">
      <c r="A277" s="6">
        <v>45752</v>
      </c>
      <c r="B277" s="7" t="s">
        <v>10</v>
      </c>
      <c r="C277" s="7" t="s">
        <v>16</v>
      </c>
      <c r="D277" s="7" t="s">
        <v>24</v>
      </c>
      <c r="E277" s="7">
        <v>86540</v>
      </c>
      <c r="F277" s="7">
        <v>6</v>
      </c>
      <c r="G277" s="8">
        <f t="shared" si="4"/>
        <v>519240</v>
      </c>
    </row>
    <row r="278" spans="1:7" ht="15.5" x14ac:dyDescent="0.35">
      <c r="A278" s="3">
        <v>45755</v>
      </c>
      <c r="B278" s="4" t="s">
        <v>15</v>
      </c>
      <c r="C278" s="4" t="s">
        <v>17</v>
      </c>
      <c r="D278" s="4" t="s">
        <v>24</v>
      </c>
      <c r="E278" s="4">
        <v>550</v>
      </c>
      <c r="F278" s="4">
        <v>44</v>
      </c>
      <c r="G278" s="5">
        <f t="shared" si="4"/>
        <v>24200</v>
      </c>
    </row>
    <row r="279" spans="1:7" ht="15.5" x14ac:dyDescent="0.35">
      <c r="A279" s="6">
        <v>45758</v>
      </c>
      <c r="B279" s="7" t="s">
        <v>12</v>
      </c>
      <c r="C279" s="7" t="s">
        <v>20</v>
      </c>
      <c r="D279" s="7" t="s">
        <v>24</v>
      </c>
      <c r="E279" s="7">
        <v>65400</v>
      </c>
      <c r="F279" s="7">
        <v>19</v>
      </c>
      <c r="G279" s="8">
        <f t="shared" si="4"/>
        <v>1242600</v>
      </c>
    </row>
    <row r="280" spans="1:7" ht="15.5" x14ac:dyDescent="0.35">
      <c r="A280" s="3">
        <v>45761</v>
      </c>
      <c r="B280" s="4" t="s">
        <v>10</v>
      </c>
      <c r="C280" s="4" t="s">
        <v>17</v>
      </c>
      <c r="D280" s="4" t="s">
        <v>14</v>
      </c>
      <c r="E280" s="4">
        <v>120</v>
      </c>
      <c r="F280" s="4">
        <v>48</v>
      </c>
      <c r="G280" s="5">
        <f t="shared" si="4"/>
        <v>5760</v>
      </c>
    </row>
    <row r="281" spans="1:7" ht="15.5" x14ac:dyDescent="0.35">
      <c r="A281" s="6">
        <v>45764</v>
      </c>
      <c r="B281" s="7" t="s">
        <v>12</v>
      </c>
      <c r="C281" s="7" t="s">
        <v>16</v>
      </c>
      <c r="D281" s="7" t="s">
        <v>21</v>
      </c>
      <c r="E281" s="7">
        <v>25600</v>
      </c>
      <c r="F281" s="7">
        <v>22</v>
      </c>
      <c r="G281" s="8">
        <f t="shared" si="4"/>
        <v>563200</v>
      </c>
    </row>
    <row r="282" spans="1:7" ht="15.5" x14ac:dyDescent="0.35">
      <c r="A282" s="3">
        <v>45767</v>
      </c>
      <c r="B282" s="4" t="s">
        <v>23</v>
      </c>
      <c r="C282" s="4" t="s">
        <v>22</v>
      </c>
      <c r="D282" s="4" t="s">
        <v>18</v>
      </c>
      <c r="E282" s="4">
        <v>699</v>
      </c>
      <c r="F282" s="4">
        <v>6</v>
      </c>
      <c r="G282" s="5">
        <f t="shared" si="4"/>
        <v>4194</v>
      </c>
    </row>
    <row r="283" spans="1:7" ht="15.5" x14ac:dyDescent="0.35">
      <c r="A283" s="6">
        <v>45770</v>
      </c>
      <c r="B283" s="7" t="s">
        <v>23</v>
      </c>
      <c r="C283" s="7" t="s">
        <v>16</v>
      </c>
      <c r="D283" s="7" t="s">
        <v>14</v>
      </c>
      <c r="E283" s="7">
        <v>99620</v>
      </c>
      <c r="F283" s="7">
        <v>12</v>
      </c>
      <c r="G283" s="8">
        <f t="shared" si="4"/>
        <v>1195440</v>
      </c>
    </row>
    <row r="284" spans="1:7" ht="15.5" x14ac:dyDescent="0.35">
      <c r="A284" s="3">
        <v>45773</v>
      </c>
      <c r="B284" s="4" t="s">
        <v>12</v>
      </c>
      <c r="C284" s="4" t="s">
        <v>22</v>
      </c>
      <c r="D284" s="4" t="s">
        <v>24</v>
      </c>
      <c r="E284" s="4">
        <v>450</v>
      </c>
      <c r="F284" s="4">
        <v>44</v>
      </c>
      <c r="G284" s="5">
        <f t="shared" si="4"/>
        <v>19800</v>
      </c>
    </row>
    <row r="285" spans="1:7" ht="15.5" x14ac:dyDescent="0.35">
      <c r="A285" s="6">
        <v>45776</v>
      </c>
      <c r="B285" s="7" t="s">
        <v>23</v>
      </c>
      <c r="C285" s="7" t="s">
        <v>22</v>
      </c>
      <c r="D285" s="7" t="s">
        <v>14</v>
      </c>
      <c r="E285" s="7">
        <v>1499</v>
      </c>
      <c r="F285" s="7">
        <v>15</v>
      </c>
      <c r="G285" s="8">
        <f t="shared" si="4"/>
        <v>22485</v>
      </c>
    </row>
    <row r="286" spans="1:7" ht="15.5" x14ac:dyDescent="0.35">
      <c r="A286" s="3">
        <v>45779</v>
      </c>
      <c r="B286" s="4" t="s">
        <v>7</v>
      </c>
      <c r="C286" s="4" t="s">
        <v>16</v>
      </c>
      <c r="D286" s="4" t="s">
        <v>21</v>
      </c>
      <c r="E286" s="4">
        <v>49500</v>
      </c>
      <c r="F286" s="4">
        <v>26</v>
      </c>
      <c r="G286" s="5">
        <f t="shared" si="4"/>
        <v>1287000</v>
      </c>
    </row>
    <row r="287" spans="1:7" ht="15.5" x14ac:dyDescent="0.35">
      <c r="A287" s="6">
        <v>45782</v>
      </c>
      <c r="B287" s="7" t="s">
        <v>10</v>
      </c>
      <c r="C287" s="7" t="s">
        <v>13</v>
      </c>
      <c r="D287" s="7" t="s">
        <v>21</v>
      </c>
      <c r="E287" s="7">
        <v>960</v>
      </c>
      <c r="F287" s="7">
        <v>16</v>
      </c>
      <c r="G287" s="8">
        <f t="shared" si="4"/>
        <v>15360</v>
      </c>
    </row>
    <row r="288" spans="1:7" ht="15.5" x14ac:dyDescent="0.35">
      <c r="A288" s="3">
        <v>45785</v>
      </c>
      <c r="B288" s="4" t="s">
        <v>12</v>
      </c>
      <c r="C288" s="4" t="s">
        <v>8</v>
      </c>
      <c r="D288" s="4" t="s">
        <v>18</v>
      </c>
      <c r="E288" s="4">
        <v>5599</v>
      </c>
      <c r="F288" s="4">
        <v>35</v>
      </c>
      <c r="G288" s="5">
        <f t="shared" si="4"/>
        <v>195965</v>
      </c>
    </row>
    <row r="289" spans="1:7" ht="15.5" x14ac:dyDescent="0.35">
      <c r="A289" s="6">
        <v>45788</v>
      </c>
      <c r="B289" s="7" t="s">
        <v>15</v>
      </c>
      <c r="C289" s="7" t="s">
        <v>17</v>
      </c>
      <c r="D289" s="7" t="s">
        <v>9</v>
      </c>
      <c r="E289" s="7">
        <v>89</v>
      </c>
      <c r="F289" s="7">
        <v>36</v>
      </c>
      <c r="G289" s="8">
        <f t="shared" si="4"/>
        <v>3204</v>
      </c>
    </row>
    <row r="290" spans="1:7" ht="15.5" x14ac:dyDescent="0.35">
      <c r="A290" s="3">
        <v>45791</v>
      </c>
      <c r="B290" s="4" t="s">
        <v>7</v>
      </c>
      <c r="C290" s="4" t="s">
        <v>8</v>
      </c>
      <c r="D290" s="4" t="s">
        <v>24</v>
      </c>
      <c r="E290" s="4">
        <v>2550</v>
      </c>
      <c r="F290" s="4">
        <v>20</v>
      </c>
      <c r="G290" s="5">
        <f t="shared" si="4"/>
        <v>51000</v>
      </c>
    </row>
    <row r="291" spans="1:7" ht="15.5" x14ac:dyDescent="0.35">
      <c r="A291" s="6">
        <v>45794</v>
      </c>
      <c r="B291" s="7" t="s">
        <v>12</v>
      </c>
      <c r="C291" s="7" t="s">
        <v>16</v>
      </c>
      <c r="D291" s="7" t="s">
        <v>9</v>
      </c>
      <c r="E291" s="7">
        <v>14500</v>
      </c>
      <c r="F291" s="7">
        <v>47</v>
      </c>
      <c r="G291" s="8">
        <f t="shared" si="4"/>
        <v>681500</v>
      </c>
    </row>
    <row r="292" spans="1:7" ht="15.5" x14ac:dyDescent="0.35">
      <c r="A292" s="3">
        <v>45797</v>
      </c>
      <c r="B292" s="4" t="s">
        <v>23</v>
      </c>
      <c r="C292" s="4" t="s">
        <v>22</v>
      </c>
      <c r="D292" s="4" t="s">
        <v>18</v>
      </c>
      <c r="E292" s="4">
        <v>2900</v>
      </c>
      <c r="F292" s="4">
        <v>6</v>
      </c>
      <c r="G292" s="5">
        <f t="shared" si="4"/>
        <v>17400</v>
      </c>
    </row>
    <row r="293" spans="1:7" ht="15.5" x14ac:dyDescent="0.35">
      <c r="A293" s="6">
        <v>45800</v>
      </c>
      <c r="B293" s="7" t="s">
        <v>15</v>
      </c>
      <c r="C293" s="7" t="s">
        <v>17</v>
      </c>
      <c r="D293" s="7" t="s">
        <v>21</v>
      </c>
      <c r="E293" s="7">
        <v>120</v>
      </c>
      <c r="F293" s="7">
        <v>6</v>
      </c>
      <c r="G293" s="8">
        <f t="shared" si="4"/>
        <v>720</v>
      </c>
    </row>
    <row r="294" spans="1:7" ht="15.5" x14ac:dyDescent="0.35">
      <c r="A294" s="3">
        <v>45803</v>
      </c>
      <c r="B294" s="4" t="s">
        <v>19</v>
      </c>
      <c r="C294" s="4" t="s">
        <v>16</v>
      </c>
      <c r="D294" s="4" t="s">
        <v>14</v>
      </c>
      <c r="E294" s="4">
        <v>52000</v>
      </c>
      <c r="F294" s="4">
        <v>41</v>
      </c>
      <c r="G294" s="5">
        <f t="shared" si="4"/>
        <v>2132000</v>
      </c>
    </row>
    <row r="295" spans="1:7" ht="15.5" x14ac:dyDescent="0.35">
      <c r="A295" s="6">
        <v>45806</v>
      </c>
      <c r="B295" s="7" t="s">
        <v>10</v>
      </c>
      <c r="C295" s="7" t="s">
        <v>22</v>
      </c>
      <c r="D295" s="7" t="s">
        <v>11</v>
      </c>
      <c r="E295" s="7">
        <v>590</v>
      </c>
      <c r="F295" s="7">
        <v>29</v>
      </c>
      <c r="G295" s="8">
        <f t="shared" si="4"/>
        <v>17110</v>
      </c>
    </row>
    <row r="296" spans="1:7" ht="15.5" x14ac:dyDescent="0.35">
      <c r="A296" s="3">
        <v>45809</v>
      </c>
      <c r="B296" s="4" t="s">
        <v>19</v>
      </c>
      <c r="C296" s="4" t="s">
        <v>13</v>
      </c>
      <c r="D296" s="4" t="s">
        <v>21</v>
      </c>
      <c r="E296" s="4">
        <v>7999</v>
      </c>
      <c r="F296" s="4">
        <v>31</v>
      </c>
      <c r="G296" s="5">
        <f t="shared" si="4"/>
        <v>247969</v>
      </c>
    </row>
    <row r="297" spans="1:7" ht="15.5" x14ac:dyDescent="0.35">
      <c r="A297" s="6">
        <v>45812</v>
      </c>
      <c r="B297" s="7" t="s">
        <v>12</v>
      </c>
      <c r="C297" s="7" t="s">
        <v>17</v>
      </c>
      <c r="D297" s="7" t="s">
        <v>11</v>
      </c>
      <c r="E297" s="7">
        <v>999</v>
      </c>
      <c r="F297" s="7">
        <v>34</v>
      </c>
      <c r="G297" s="8">
        <f t="shared" si="4"/>
        <v>33966</v>
      </c>
    </row>
    <row r="298" spans="1:7" ht="15.5" x14ac:dyDescent="0.35">
      <c r="A298" s="3">
        <v>45815</v>
      </c>
      <c r="B298" s="4" t="s">
        <v>23</v>
      </c>
      <c r="C298" s="4" t="s">
        <v>16</v>
      </c>
      <c r="D298" s="4" t="s">
        <v>14</v>
      </c>
      <c r="E298" s="4">
        <v>990</v>
      </c>
      <c r="F298" s="4">
        <v>43</v>
      </c>
      <c r="G298" s="5">
        <f t="shared" si="4"/>
        <v>42570</v>
      </c>
    </row>
    <row r="299" spans="1:7" ht="15.5" x14ac:dyDescent="0.35">
      <c r="A299" s="6">
        <v>45818</v>
      </c>
      <c r="B299" s="7" t="s">
        <v>12</v>
      </c>
      <c r="C299" s="7" t="s">
        <v>20</v>
      </c>
      <c r="D299" s="7" t="s">
        <v>9</v>
      </c>
      <c r="E299" s="7">
        <v>11999</v>
      </c>
      <c r="F299" s="7">
        <v>37</v>
      </c>
      <c r="G299" s="8">
        <f t="shared" si="4"/>
        <v>443963</v>
      </c>
    </row>
    <row r="300" spans="1:7" ht="15.5" x14ac:dyDescent="0.35">
      <c r="A300" s="3">
        <v>45821</v>
      </c>
      <c r="B300" s="4" t="s">
        <v>10</v>
      </c>
      <c r="C300" s="4" t="s">
        <v>13</v>
      </c>
      <c r="D300" s="4" t="s">
        <v>9</v>
      </c>
      <c r="E300" s="4">
        <v>960</v>
      </c>
      <c r="F300" s="4">
        <v>7</v>
      </c>
      <c r="G300" s="5">
        <f t="shared" si="4"/>
        <v>6720</v>
      </c>
    </row>
    <row r="301" spans="1:7" ht="15.5" x14ac:dyDescent="0.35">
      <c r="A301" s="6">
        <v>45824</v>
      </c>
      <c r="B301" s="7" t="s">
        <v>7</v>
      </c>
      <c r="C301" s="7" t="s">
        <v>8</v>
      </c>
      <c r="D301" s="7" t="s">
        <v>14</v>
      </c>
      <c r="E301" s="7">
        <v>1450</v>
      </c>
      <c r="F301" s="7">
        <v>19</v>
      </c>
      <c r="G301" s="8">
        <f t="shared" si="4"/>
        <v>27550</v>
      </c>
    </row>
    <row r="302" spans="1:7" ht="15.5" x14ac:dyDescent="0.35">
      <c r="A302" s="3">
        <v>45827</v>
      </c>
      <c r="B302" s="4" t="s">
        <v>23</v>
      </c>
      <c r="C302" s="4" t="s">
        <v>22</v>
      </c>
      <c r="D302" s="4" t="s">
        <v>11</v>
      </c>
      <c r="E302" s="4">
        <v>450</v>
      </c>
      <c r="F302" s="4">
        <v>47</v>
      </c>
      <c r="G302" s="5">
        <f t="shared" si="4"/>
        <v>21150</v>
      </c>
    </row>
    <row r="303" spans="1:7" ht="15.5" x14ac:dyDescent="0.35">
      <c r="A303" s="6">
        <v>45830</v>
      </c>
      <c r="B303" s="7" t="s">
        <v>12</v>
      </c>
      <c r="C303" s="7" t="s">
        <v>16</v>
      </c>
      <c r="D303" s="7" t="s">
        <v>11</v>
      </c>
      <c r="E303" s="7">
        <v>1499</v>
      </c>
      <c r="F303" s="7">
        <v>37</v>
      </c>
      <c r="G303" s="8">
        <f t="shared" si="4"/>
        <v>55463</v>
      </c>
    </row>
    <row r="304" spans="1:7" ht="15.5" x14ac:dyDescent="0.35">
      <c r="A304" s="3">
        <v>45833</v>
      </c>
      <c r="B304" s="4" t="s">
        <v>19</v>
      </c>
      <c r="C304" s="4" t="s">
        <v>20</v>
      </c>
      <c r="D304" s="4" t="s">
        <v>11</v>
      </c>
      <c r="E304" s="4">
        <v>79999</v>
      </c>
      <c r="F304" s="4">
        <v>4</v>
      </c>
      <c r="G304" s="5">
        <f t="shared" si="4"/>
        <v>319996</v>
      </c>
    </row>
    <row r="305" spans="1:7" ht="15.5" x14ac:dyDescent="0.35">
      <c r="A305" s="6">
        <v>45836</v>
      </c>
      <c r="B305" s="7" t="s">
        <v>12</v>
      </c>
      <c r="C305" s="7" t="s">
        <v>17</v>
      </c>
      <c r="D305" s="7" t="s">
        <v>21</v>
      </c>
      <c r="E305" s="7">
        <v>999</v>
      </c>
      <c r="F305" s="7">
        <v>45</v>
      </c>
      <c r="G305" s="8">
        <f t="shared" si="4"/>
        <v>44955</v>
      </c>
    </row>
    <row r="306" spans="1:7" ht="15.5" x14ac:dyDescent="0.35">
      <c r="A306" s="3">
        <v>45839</v>
      </c>
      <c r="B306" s="4" t="s">
        <v>19</v>
      </c>
      <c r="C306" s="4" t="s">
        <v>20</v>
      </c>
      <c r="D306" s="4" t="s">
        <v>9</v>
      </c>
      <c r="E306" s="4">
        <v>52000</v>
      </c>
      <c r="F306" s="4">
        <v>15</v>
      </c>
      <c r="G306" s="5">
        <f t="shared" si="4"/>
        <v>780000</v>
      </c>
    </row>
    <row r="307" spans="1:7" ht="15.5" x14ac:dyDescent="0.35">
      <c r="A307" s="6">
        <v>45842</v>
      </c>
      <c r="B307" s="7" t="s">
        <v>10</v>
      </c>
      <c r="C307" s="7" t="s">
        <v>20</v>
      </c>
      <c r="D307" s="7" t="s">
        <v>18</v>
      </c>
      <c r="E307" s="7">
        <v>52000</v>
      </c>
      <c r="F307" s="7">
        <v>39</v>
      </c>
      <c r="G307" s="8">
        <f t="shared" si="4"/>
        <v>2028000</v>
      </c>
    </row>
    <row r="308" spans="1:7" ht="15.5" x14ac:dyDescent="0.35">
      <c r="A308" s="3">
        <v>45845</v>
      </c>
      <c r="B308" s="4" t="s">
        <v>12</v>
      </c>
      <c r="C308" s="4" t="s">
        <v>13</v>
      </c>
      <c r="D308" s="4" t="s">
        <v>18</v>
      </c>
      <c r="E308" s="4">
        <v>960</v>
      </c>
      <c r="F308" s="4">
        <v>33</v>
      </c>
      <c r="G308" s="5">
        <f t="shared" si="4"/>
        <v>31680</v>
      </c>
    </row>
    <row r="309" spans="1:7" ht="15.5" x14ac:dyDescent="0.35">
      <c r="A309" s="6">
        <v>45848</v>
      </c>
      <c r="B309" s="9" t="s">
        <v>19</v>
      </c>
      <c r="C309" s="9" t="s">
        <v>13</v>
      </c>
      <c r="D309" s="9" t="s">
        <v>14</v>
      </c>
      <c r="E309" s="9">
        <v>1450</v>
      </c>
      <c r="F309" s="9">
        <v>34</v>
      </c>
      <c r="G309" s="10">
        <f t="shared" si="4"/>
        <v>49300</v>
      </c>
    </row>
    <row r="310" spans="1:7" ht="15.5" x14ac:dyDescent="0.35">
      <c r="A310" s="3">
        <v>45851</v>
      </c>
      <c r="B310" s="4" t="s">
        <v>23</v>
      </c>
      <c r="C310" s="4" t="s">
        <v>22</v>
      </c>
      <c r="D310" s="4" t="s">
        <v>24</v>
      </c>
      <c r="E310" s="4">
        <v>2500</v>
      </c>
      <c r="F310" s="4">
        <v>100</v>
      </c>
      <c r="G310" s="5">
        <f t="shared" si="4"/>
        <v>250000</v>
      </c>
    </row>
    <row r="311" spans="1:7" ht="15.5" x14ac:dyDescent="0.35">
      <c r="A311" s="6">
        <v>45854</v>
      </c>
      <c r="B311" s="7" t="s">
        <v>10</v>
      </c>
      <c r="C311" s="7" t="s">
        <v>16</v>
      </c>
      <c r="D311" s="7" t="s">
        <v>24</v>
      </c>
      <c r="E311" s="7">
        <v>86540</v>
      </c>
      <c r="F311" s="7">
        <v>6</v>
      </c>
      <c r="G311" s="8">
        <f t="shared" si="4"/>
        <v>519240</v>
      </c>
    </row>
    <row r="312" spans="1:7" ht="15.5" x14ac:dyDescent="0.35">
      <c r="A312" s="3">
        <v>45857</v>
      </c>
      <c r="B312" s="4" t="s">
        <v>15</v>
      </c>
      <c r="C312" s="4" t="s">
        <v>17</v>
      </c>
      <c r="D312" s="4" t="s">
        <v>24</v>
      </c>
      <c r="E312" s="4">
        <v>550</v>
      </c>
      <c r="F312" s="4">
        <v>44</v>
      </c>
      <c r="G312" s="5">
        <f t="shared" si="4"/>
        <v>24200</v>
      </c>
    </row>
    <row r="313" spans="1:7" ht="15.5" x14ac:dyDescent="0.35">
      <c r="A313" s="6">
        <v>45860</v>
      </c>
      <c r="B313" s="7" t="s">
        <v>12</v>
      </c>
      <c r="C313" s="7" t="s">
        <v>20</v>
      </c>
      <c r="D313" s="7" t="s">
        <v>24</v>
      </c>
      <c r="E313" s="7">
        <v>65400</v>
      </c>
      <c r="F313" s="7">
        <v>19</v>
      </c>
      <c r="G313"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5C3A4-3A4E-4F2B-87FE-A18BB390A212}">
  <sheetPr codeName="Sheet2"/>
  <dimension ref="A1:D212"/>
  <sheetViews>
    <sheetView topLeftCell="A199" workbookViewId="0">
      <selection activeCell="B210" sqref="B210"/>
    </sheetView>
  </sheetViews>
  <sheetFormatPr defaultRowHeight="14.5" x14ac:dyDescent="0.35"/>
  <cols>
    <col min="1" max="2" width="12.36328125" bestFit="1" customWidth="1"/>
    <col min="3" max="3" width="14" bestFit="1" customWidth="1"/>
  </cols>
  <sheetData>
    <row r="1" spans="1:2" x14ac:dyDescent="0.35">
      <c r="A1" s="20" t="s">
        <v>25</v>
      </c>
      <c r="B1" t="s">
        <v>39</v>
      </c>
    </row>
    <row r="2" spans="1:2" x14ac:dyDescent="0.35">
      <c r="A2" s="21" t="s">
        <v>17</v>
      </c>
      <c r="B2" s="22">
        <v>61370</v>
      </c>
    </row>
    <row r="3" spans="1:2" x14ac:dyDescent="0.35">
      <c r="A3" s="21" t="s">
        <v>26</v>
      </c>
      <c r="B3" s="22">
        <v>61370</v>
      </c>
    </row>
    <row r="62" spans="1:2" x14ac:dyDescent="0.35">
      <c r="A62" s="20" t="s">
        <v>25</v>
      </c>
      <c r="B62" t="s">
        <v>39</v>
      </c>
    </row>
    <row r="63" spans="1:2" x14ac:dyDescent="0.35">
      <c r="A63" s="21" t="s">
        <v>14</v>
      </c>
      <c r="B63" s="22">
        <v>19527790</v>
      </c>
    </row>
    <row r="64" spans="1:2" x14ac:dyDescent="0.35">
      <c r="A64" s="21" t="s">
        <v>21</v>
      </c>
      <c r="B64" s="22">
        <v>19085520</v>
      </c>
    </row>
    <row r="65" spans="1:2" x14ac:dyDescent="0.35">
      <c r="A65" s="21" t="s">
        <v>9</v>
      </c>
      <c r="B65" s="22">
        <v>21094901</v>
      </c>
    </row>
    <row r="66" spans="1:2" x14ac:dyDescent="0.35">
      <c r="A66" s="21" t="s">
        <v>24</v>
      </c>
      <c r="B66" s="22">
        <v>12545248</v>
      </c>
    </row>
    <row r="67" spans="1:2" x14ac:dyDescent="0.35">
      <c r="A67" s="21" t="s">
        <v>18</v>
      </c>
      <c r="B67" s="22">
        <v>43332115</v>
      </c>
    </row>
    <row r="68" spans="1:2" x14ac:dyDescent="0.35">
      <c r="A68" s="21" t="s">
        <v>11</v>
      </c>
      <c r="B68" s="22">
        <v>15527779</v>
      </c>
    </row>
    <row r="69" spans="1:2" x14ac:dyDescent="0.35">
      <c r="A69" s="21" t="s">
        <v>26</v>
      </c>
      <c r="B69" s="22">
        <v>131113353</v>
      </c>
    </row>
    <row r="91" spans="1:2" x14ac:dyDescent="0.35">
      <c r="A91" s="20" t="s">
        <v>25</v>
      </c>
      <c r="B91" t="s">
        <v>39</v>
      </c>
    </row>
    <row r="92" spans="1:2" x14ac:dyDescent="0.35">
      <c r="A92" s="21" t="s">
        <v>16</v>
      </c>
      <c r="B92" s="23">
        <v>0.40657099967537252</v>
      </c>
    </row>
    <row r="93" spans="1:2" x14ac:dyDescent="0.35">
      <c r="A93" s="21" t="s">
        <v>8</v>
      </c>
      <c r="B93" s="23">
        <v>4.2240991274168693E-2</v>
      </c>
    </row>
    <row r="94" spans="1:2" x14ac:dyDescent="0.35">
      <c r="A94" s="21" t="s">
        <v>20</v>
      </c>
      <c r="B94" s="23">
        <v>0.40823893810419143</v>
      </c>
    </row>
    <row r="95" spans="1:2" x14ac:dyDescent="0.35">
      <c r="A95" s="21" t="s">
        <v>13</v>
      </c>
      <c r="B95" s="23">
        <v>2.9551284528586498E-2</v>
      </c>
    </row>
    <row r="96" spans="1:2" x14ac:dyDescent="0.35">
      <c r="A96" s="21" t="s">
        <v>17</v>
      </c>
      <c r="B96" s="23">
        <v>8.028829832458026E-2</v>
      </c>
    </row>
    <row r="97" spans="1:2" x14ac:dyDescent="0.35">
      <c r="A97" s="21" t="s">
        <v>22</v>
      </c>
      <c r="B97" s="23">
        <v>3.3109488093100631E-2</v>
      </c>
    </row>
    <row r="98" spans="1:2" x14ac:dyDescent="0.35">
      <c r="A98" s="21" t="s">
        <v>26</v>
      </c>
      <c r="B98" s="23">
        <v>1</v>
      </c>
    </row>
    <row r="114" spans="2:3" x14ac:dyDescent="0.35">
      <c r="B114" s="20" t="s">
        <v>25</v>
      </c>
      <c r="C114" t="s">
        <v>39</v>
      </c>
    </row>
    <row r="115" spans="2:3" x14ac:dyDescent="0.35">
      <c r="B115" s="21" t="s">
        <v>27</v>
      </c>
      <c r="C115" s="22">
        <v>15025154</v>
      </c>
    </row>
    <row r="116" spans="2:3" x14ac:dyDescent="0.35">
      <c r="B116" s="21" t="s">
        <v>28</v>
      </c>
      <c r="C116" s="22">
        <v>7866771</v>
      </c>
    </row>
    <row r="117" spans="2:3" x14ac:dyDescent="0.35">
      <c r="B117" s="21" t="s">
        <v>29</v>
      </c>
      <c r="C117" s="22">
        <v>10397176</v>
      </c>
    </row>
    <row r="118" spans="2:3" x14ac:dyDescent="0.35">
      <c r="B118" s="21" t="s">
        <v>30</v>
      </c>
      <c r="C118" s="22">
        <v>15416618</v>
      </c>
    </row>
    <row r="119" spans="2:3" x14ac:dyDescent="0.35">
      <c r="B119" s="21" t="s">
        <v>31</v>
      </c>
      <c r="C119" s="22">
        <v>13935511</v>
      </c>
    </row>
    <row r="120" spans="2:3" x14ac:dyDescent="0.35">
      <c r="B120" s="21" t="s">
        <v>32</v>
      </c>
      <c r="C120" s="22">
        <v>14009430</v>
      </c>
    </row>
    <row r="121" spans="2:3" x14ac:dyDescent="0.35">
      <c r="B121" s="21" t="s">
        <v>33</v>
      </c>
      <c r="C121" s="22">
        <v>12991420</v>
      </c>
    </row>
    <row r="122" spans="2:3" x14ac:dyDescent="0.35">
      <c r="B122" s="21" t="s">
        <v>34</v>
      </c>
      <c r="C122" s="22">
        <v>11123456</v>
      </c>
    </row>
    <row r="123" spans="2:3" x14ac:dyDescent="0.35">
      <c r="B123" s="21" t="s">
        <v>35</v>
      </c>
      <c r="C123" s="22">
        <v>7476424</v>
      </c>
    </row>
    <row r="124" spans="2:3" x14ac:dyDescent="0.35">
      <c r="B124" s="21" t="s">
        <v>36</v>
      </c>
      <c r="C124" s="22">
        <v>7275131</v>
      </c>
    </row>
    <row r="125" spans="2:3" x14ac:dyDescent="0.35">
      <c r="B125" s="21" t="s">
        <v>37</v>
      </c>
      <c r="C125" s="22">
        <v>8004929</v>
      </c>
    </row>
    <row r="126" spans="2:3" x14ac:dyDescent="0.35">
      <c r="B126" s="21" t="s">
        <v>38</v>
      </c>
      <c r="C126" s="22">
        <v>7591333</v>
      </c>
    </row>
    <row r="127" spans="2:3" x14ac:dyDescent="0.35">
      <c r="B127" s="21" t="s">
        <v>26</v>
      </c>
      <c r="C127" s="22">
        <v>131113353</v>
      </c>
    </row>
    <row r="134" spans="1:1" x14ac:dyDescent="0.35">
      <c r="A134" s="20" t="s">
        <v>25</v>
      </c>
    </row>
    <row r="135" spans="1:1" x14ac:dyDescent="0.35">
      <c r="A135" s="21" t="s">
        <v>13</v>
      </c>
    </row>
    <row r="136" spans="1:1" x14ac:dyDescent="0.35">
      <c r="A136" s="21" t="s">
        <v>26</v>
      </c>
    </row>
    <row r="155" spans="2:4" x14ac:dyDescent="0.35">
      <c r="B155" s="11"/>
      <c r="C155" s="12"/>
      <c r="D155" s="13"/>
    </row>
    <row r="156" spans="2:4" x14ac:dyDescent="0.35">
      <c r="B156" s="14"/>
      <c r="C156" s="15"/>
      <c r="D156" s="16"/>
    </row>
    <row r="157" spans="2:4" x14ac:dyDescent="0.35">
      <c r="B157" s="14"/>
      <c r="C157" s="15"/>
      <c r="D157" s="16"/>
    </row>
    <row r="158" spans="2:4" x14ac:dyDescent="0.35">
      <c r="B158" s="14"/>
      <c r="C158" s="15"/>
      <c r="D158" s="16"/>
    </row>
    <row r="159" spans="2:4" x14ac:dyDescent="0.35">
      <c r="B159" s="14"/>
      <c r="C159" s="15"/>
      <c r="D159" s="16"/>
    </row>
    <row r="160" spans="2:4" x14ac:dyDescent="0.35">
      <c r="B160" s="14"/>
      <c r="C160" s="15"/>
      <c r="D160" s="16"/>
    </row>
    <row r="161" spans="1:4" x14ac:dyDescent="0.35">
      <c r="B161" s="14"/>
      <c r="C161" s="15"/>
      <c r="D161" s="16"/>
    </row>
    <row r="162" spans="1:4" x14ac:dyDescent="0.35">
      <c r="B162" s="14"/>
      <c r="C162" s="15"/>
      <c r="D162" s="16"/>
    </row>
    <row r="163" spans="1:4" x14ac:dyDescent="0.35">
      <c r="B163" s="14"/>
      <c r="C163" s="15"/>
      <c r="D163" s="16"/>
    </row>
    <row r="164" spans="1:4" x14ac:dyDescent="0.35">
      <c r="B164" s="14"/>
      <c r="C164" s="15"/>
      <c r="D164" s="16"/>
    </row>
    <row r="165" spans="1:4" x14ac:dyDescent="0.35">
      <c r="B165" s="14"/>
      <c r="C165" s="15"/>
      <c r="D165" s="16"/>
    </row>
    <row r="166" spans="1:4" x14ac:dyDescent="0.35">
      <c r="B166" s="14"/>
      <c r="C166" s="15"/>
      <c r="D166" s="16"/>
    </row>
    <row r="167" spans="1:4" x14ac:dyDescent="0.35">
      <c r="B167" s="14"/>
      <c r="C167" s="15"/>
      <c r="D167" s="16"/>
    </row>
    <row r="168" spans="1:4" x14ac:dyDescent="0.35">
      <c r="B168" s="14"/>
      <c r="C168" s="15"/>
      <c r="D168" s="16"/>
    </row>
    <row r="169" spans="1:4" x14ac:dyDescent="0.35">
      <c r="B169" s="14"/>
      <c r="C169" s="15"/>
      <c r="D169" s="16"/>
    </row>
    <row r="170" spans="1:4" x14ac:dyDescent="0.35">
      <c r="B170" s="14"/>
      <c r="C170" s="15"/>
      <c r="D170" s="16"/>
    </row>
    <row r="171" spans="1:4" x14ac:dyDescent="0.35">
      <c r="B171" s="14"/>
      <c r="C171" s="15"/>
      <c r="D171" s="16"/>
    </row>
    <row r="172" spans="1:4" x14ac:dyDescent="0.35">
      <c r="A172" t="s">
        <v>39</v>
      </c>
      <c r="B172" s="17"/>
      <c r="C172" s="18"/>
      <c r="D172" s="19"/>
    </row>
    <row r="173" spans="1:4" x14ac:dyDescent="0.35">
      <c r="A173" s="22">
        <v>131113353</v>
      </c>
      <c r="B173">
        <f>GETPIVOTDATA("Amount",$A$172)</f>
        <v>131113353</v>
      </c>
    </row>
    <row r="180" spans="1:2" x14ac:dyDescent="0.35">
      <c r="A180" t="s">
        <v>42</v>
      </c>
    </row>
    <row r="181" spans="1:2" x14ac:dyDescent="0.35">
      <c r="A181">
        <v>312</v>
      </c>
      <c r="B181">
        <f>GETPIVOTDATA("Amount",$A$180)</f>
        <v>312</v>
      </c>
    </row>
    <row r="210" spans="2:2" x14ac:dyDescent="0.35">
      <c r="B210" s="20" t="s">
        <v>25</v>
      </c>
    </row>
    <row r="211" spans="2:2" x14ac:dyDescent="0.35">
      <c r="B211" s="21" t="s">
        <v>9</v>
      </c>
    </row>
    <row r="212" spans="2:2" x14ac:dyDescent="0.35">
      <c r="B212" s="21" t="s">
        <v>26</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C65A-7309-429B-861F-50439589009A}">
  <sheetPr codeName="Sheet3"/>
  <dimension ref="A1:G315"/>
  <sheetViews>
    <sheetView workbookViewId="0">
      <selection activeCell="A3" sqref="A3:G315"/>
    </sheetView>
  </sheetViews>
  <sheetFormatPr defaultRowHeight="14.5" x14ac:dyDescent="0.35"/>
  <cols>
    <col min="1" max="1" width="10.08984375" bestFit="1" customWidth="1"/>
    <col min="2" max="2" width="14.36328125" bestFit="1" customWidth="1"/>
    <col min="3" max="3" width="10.54296875" bestFit="1" customWidth="1"/>
    <col min="4" max="4" width="10.26953125" bestFit="1" customWidth="1"/>
    <col min="5" max="6" width="8.81640625" bestFit="1" customWidth="1"/>
    <col min="7" max="7" width="9.90625" bestFit="1" customWidth="1"/>
  </cols>
  <sheetData>
    <row r="1" spans="1:7" x14ac:dyDescent="0.35">
      <c r="A1" s="25" t="s">
        <v>40</v>
      </c>
    </row>
    <row r="3" spans="1:7" x14ac:dyDescent="0.35">
      <c r="A3" t="s">
        <v>0</v>
      </c>
      <c r="B3" t="s">
        <v>1</v>
      </c>
      <c r="C3" t="s">
        <v>2</v>
      </c>
      <c r="D3" t="s">
        <v>3</v>
      </c>
      <c r="E3" t="s">
        <v>4</v>
      </c>
      <c r="F3" t="s">
        <v>5</v>
      </c>
      <c r="G3" t="s">
        <v>6</v>
      </c>
    </row>
    <row r="4" spans="1:7" x14ac:dyDescent="0.35">
      <c r="A4" s="24">
        <v>44936</v>
      </c>
      <c r="B4" t="s">
        <v>15</v>
      </c>
      <c r="C4" t="s">
        <v>16</v>
      </c>
      <c r="D4" t="s">
        <v>9</v>
      </c>
      <c r="E4">
        <v>85000</v>
      </c>
      <c r="F4">
        <v>50</v>
      </c>
      <c r="G4">
        <v>4250000</v>
      </c>
    </row>
    <row r="5" spans="1:7" x14ac:dyDescent="0.35">
      <c r="A5" s="24">
        <v>44948</v>
      </c>
      <c r="B5" t="s">
        <v>7</v>
      </c>
      <c r="C5" t="s">
        <v>16</v>
      </c>
      <c r="D5" t="s">
        <v>21</v>
      </c>
      <c r="E5">
        <v>86000</v>
      </c>
      <c r="F5">
        <v>39</v>
      </c>
      <c r="G5">
        <v>3354000</v>
      </c>
    </row>
    <row r="6" spans="1:7" x14ac:dyDescent="0.35">
      <c r="A6" s="24">
        <v>44963</v>
      </c>
      <c r="B6" t="s">
        <v>15</v>
      </c>
      <c r="C6" t="s">
        <v>16</v>
      </c>
      <c r="D6" t="s">
        <v>9</v>
      </c>
      <c r="E6">
        <v>63400</v>
      </c>
      <c r="F6">
        <v>8</v>
      </c>
      <c r="G6">
        <v>507200</v>
      </c>
    </row>
    <row r="7" spans="1:7" x14ac:dyDescent="0.35">
      <c r="A7" s="24">
        <v>44975</v>
      </c>
      <c r="B7" t="s">
        <v>12</v>
      </c>
      <c r="C7" t="s">
        <v>16</v>
      </c>
      <c r="D7" t="s">
        <v>11</v>
      </c>
      <c r="E7">
        <v>47500</v>
      </c>
      <c r="F7">
        <v>27</v>
      </c>
      <c r="G7">
        <v>1282500</v>
      </c>
    </row>
    <row r="8" spans="1:7" x14ac:dyDescent="0.35">
      <c r="A8" s="24">
        <v>44999</v>
      </c>
      <c r="B8" t="s">
        <v>10</v>
      </c>
      <c r="C8" t="s">
        <v>16</v>
      </c>
      <c r="D8" t="s">
        <v>21</v>
      </c>
      <c r="E8">
        <v>65200</v>
      </c>
      <c r="F8">
        <v>7</v>
      </c>
      <c r="G8">
        <v>456400</v>
      </c>
    </row>
    <row r="9" spans="1:7" x14ac:dyDescent="0.35">
      <c r="A9" s="24">
        <v>45011</v>
      </c>
      <c r="B9" t="s">
        <v>19</v>
      </c>
      <c r="C9" t="s">
        <v>16</v>
      </c>
      <c r="D9" t="s">
        <v>9</v>
      </c>
      <c r="E9">
        <v>22000</v>
      </c>
      <c r="F9">
        <v>10</v>
      </c>
      <c r="G9">
        <v>220000</v>
      </c>
    </row>
    <row r="10" spans="1:7" x14ac:dyDescent="0.35">
      <c r="A10" s="24">
        <v>45038</v>
      </c>
      <c r="B10" t="s">
        <v>19</v>
      </c>
      <c r="C10" t="s">
        <v>16</v>
      </c>
      <c r="D10" t="s">
        <v>9</v>
      </c>
      <c r="E10">
        <v>89999</v>
      </c>
      <c r="F10">
        <v>15</v>
      </c>
      <c r="G10">
        <v>1349985</v>
      </c>
    </row>
    <row r="11" spans="1:7" x14ac:dyDescent="0.35">
      <c r="A11" s="24">
        <v>45065</v>
      </c>
      <c r="B11" t="s">
        <v>10</v>
      </c>
      <c r="C11" t="s">
        <v>16</v>
      </c>
      <c r="D11" t="s">
        <v>9</v>
      </c>
      <c r="E11">
        <v>120</v>
      </c>
      <c r="F11">
        <v>9</v>
      </c>
      <c r="G11">
        <v>1080</v>
      </c>
    </row>
    <row r="12" spans="1:7" x14ac:dyDescent="0.35">
      <c r="A12" s="24">
        <v>45077</v>
      </c>
      <c r="B12" t="s">
        <v>12</v>
      </c>
      <c r="C12" t="s">
        <v>16</v>
      </c>
      <c r="D12" t="s">
        <v>18</v>
      </c>
      <c r="E12">
        <v>79999</v>
      </c>
      <c r="F12">
        <v>10</v>
      </c>
      <c r="G12">
        <v>799990</v>
      </c>
    </row>
    <row r="13" spans="1:7" x14ac:dyDescent="0.35">
      <c r="A13" s="24">
        <v>45086</v>
      </c>
      <c r="B13" t="s">
        <v>10</v>
      </c>
      <c r="C13" t="s">
        <v>16</v>
      </c>
      <c r="D13" t="s">
        <v>18</v>
      </c>
      <c r="E13">
        <v>78500</v>
      </c>
      <c r="F13">
        <v>44</v>
      </c>
      <c r="G13">
        <v>3454000</v>
      </c>
    </row>
    <row r="14" spans="1:7" x14ac:dyDescent="0.35">
      <c r="A14" s="24">
        <v>45095</v>
      </c>
      <c r="B14" t="s">
        <v>7</v>
      </c>
      <c r="C14" t="s">
        <v>16</v>
      </c>
      <c r="D14" t="s">
        <v>18</v>
      </c>
      <c r="E14">
        <v>13999</v>
      </c>
      <c r="F14">
        <v>34</v>
      </c>
      <c r="G14">
        <v>475966</v>
      </c>
    </row>
    <row r="15" spans="1:7" x14ac:dyDescent="0.35">
      <c r="A15" s="24">
        <v>45104</v>
      </c>
      <c r="B15" t="s">
        <v>19</v>
      </c>
      <c r="C15" t="s">
        <v>16</v>
      </c>
      <c r="D15" t="s">
        <v>18</v>
      </c>
      <c r="E15">
        <v>45000</v>
      </c>
      <c r="F15">
        <v>31</v>
      </c>
      <c r="G15">
        <v>1395000</v>
      </c>
    </row>
    <row r="16" spans="1:7" x14ac:dyDescent="0.35">
      <c r="A16" s="24">
        <v>45113</v>
      </c>
      <c r="B16" t="s">
        <v>12</v>
      </c>
      <c r="C16" t="s">
        <v>16</v>
      </c>
      <c r="D16" t="s">
        <v>21</v>
      </c>
      <c r="E16">
        <v>35600</v>
      </c>
      <c r="F16">
        <v>22</v>
      </c>
      <c r="G16">
        <v>783200</v>
      </c>
    </row>
    <row r="17" spans="1:7" x14ac:dyDescent="0.35">
      <c r="A17" s="24">
        <v>45122</v>
      </c>
      <c r="B17" t="s">
        <v>23</v>
      </c>
      <c r="C17" t="s">
        <v>16</v>
      </c>
      <c r="D17" t="s">
        <v>9</v>
      </c>
      <c r="E17">
        <v>450</v>
      </c>
      <c r="F17">
        <v>44</v>
      </c>
      <c r="G17">
        <v>19800</v>
      </c>
    </row>
    <row r="18" spans="1:7" x14ac:dyDescent="0.35">
      <c r="A18" s="24">
        <v>45131</v>
      </c>
      <c r="B18" t="s">
        <v>12</v>
      </c>
      <c r="C18" t="s">
        <v>16</v>
      </c>
      <c r="D18" t="s">
        <v>21</v>
      </c>
      <c r="E18">
        <v>44000</v>
      </c>
      <c r="F18">
        <v>16</v>
      </c>
      <c r="G18">
        <v>704000</v>
      </c>
    </row>
    <row r="19" spans="1:7" x14ac:dyDescent="0.35">
      <c r="A19" s="24">
        <v>45137</v>
      </c>
      <c r="B19" t="s">
        <v>15</v>
      </c>
      <c r="C19" t="s">
        <v>16</v>
      </c>
      <c r="D19" t="s">
        <v>9</v>
      </c>
      <c r="E19">
        <v>54100</v>
      </c>
      <c r="F19">
        <v>36</v>
      </c>
      <c r="G19">
        <v>1947600</v>
      </c>
    </row>
    <row r="20" spans="1:7" x14ac:dyDescent="0.35">
      <c r="A20" s="24">
        <v>45143</v>
      </c>
      <c r="B20" t="s">
        <v>10</v>
      </c>
      <c r="C20" t="s">
        <v>16</v>
      </c>
      <c r="D20" t="s">
        <v>14</v>
      </c>
      <c r="E20">
        <v>1450</v>
      </c>
      <c r="F20">
        <v>47</v>
      </c>
      <c r="G20">
        <v>68150</v>
      </c>
    </row>
    <row r="21" spans="1:7" x14ac:dyDescent="0.35">
      <c r="A21" s="24">
        <v>45149</v>
      </c>
      <c r="B21" t="s">
        <v>15</v>
      </c>
      <c r="C21" t="s">
        <v>16</v>
      </c>
      <c r="D21" t="s">
        <v>21</v>
      </c>
      <c r="E21">
        <v>65200</v>
      </c>
      <c r="F21">
        <v>6</v>
      </c>
      <c r="G21">
        <v>391200</v>
      </c>
    </row>
    <row r="22" spans="1:7" x14ac:dyDescent="0.35">
      <c r="A22" s="24">
        <v>45155</v>
      </c>
      <c r="B22" t="s">
        <v>12</v>
      </c>
      <c r="C22" t="s">
        <v>16</v>
      </c>
      <c r="D22" t="s">
        <v>11</v>
      </c>
      <c r="E22">
        <v>59000</v>
      </c>
      <c r="F22">
        <v>29</v>
      </c>
      <c r="G22">
        <v>1711000</v>
      </c>
    </row>
    <row r="23" spans="1:7" x14ac:dyDescent="0.35">
      <c r="A23" s="24">
        <v>45176</v>
      </c>
      <c r="B23" t="s">
        <v>12</v>
      </c>
      <c r="C23" t="s">
        <v>16</v>
      </c>
      <c r="D23" t="s">
        <v>11</v>
      </c>
      <c r="E23">
        <v>45000</v>
      </c>
      <c r="F23">
        <v>47</v>
      </c>
      <c r="G23">
        <v>2115000</v>
      </c>
    </row>
    <row r="24" spans="1:7" x14ac:dyDescent="0.35">
      <c r="A24" s="24">
        <v>45185</v>
      </c>
      <c r="B24" t="s">
        <v>15</v>
      </c>
      <c r="C24" t="s">
        <v>16</v>
      </c>
      <c r="D24" t="s">
        <v>21</v>
      </c>
      <c r="E24">
        <v>999</v>
      </c>
      <c r="F24">
        <v>45</v>
      </c>
      <c r="G24">
        <v>44955</v>
      </c>
    </row>
    <row r="25" spans="1:7" x14ac:dyDescent="0.35">
      <c r="A25" s="24">
        <v>45191</v>
      </c>
      <c r="B25" t="s">
        <v>12</v>
      </c>
      <c r="C25" t="s">
        <v>16</v>
      </c>
      <c r="D25" t="s">
        <v>18</v>
      </c>
      <c r="E25">
        <v>52000</v>
      </c>
      <c r="F25">
        <v>39</v>
      </c>
      <c r="G25">
        <v>2028000</v>
      </c>
    </row>
    <row r="26" spans="1:7" x14ac:dyDescent="0.35">
      <c r="A26" s="24">
        <v>45197</v>
      </c>
      <c r="B26" t="s">
        <v>19</v>
      </c>
      <c r="C26" t="s">
        <v>16</v>
      </c>
      <c r="D26" t="s">
        <v>18</v>
      </c>
      <c r="E26">
        <v>19500</v>
      </c>
      <c r="F26">
        <v>45</v>
      </c>
      <c r="G26">
        <v>877500</v>
      </c>
    </row>
    <row r="27" spans="1:7" x14ac:dyDescent="0.35">
      <c r="A27" s="24">
        <v>45215</v>
      </c>
      <c r="B27" t="s">
        <v>23</v>
      </c>
      <c r="C27" t="s">
        <v>16</v>
      </c>
      <c r="D27" t="s">
        <v>14</v>
      </c>
      <c r="E27">
        <v>1999</v>
      </c>
      <c r="F27">
        <v>48</v>
      </c>
      <c r="G27">
        <v>95952</v>
      </c>
    </row>
    <row r="28" spans="1:7" x14ac:dyDescent="0.35">
      <c r="A28" s="24">
        <v>45227</v>
      </c>
      <c r="B28" t="s">
        <v>12</v>
      </c>
      <c r="C28" t="s">
        <v>16</v>
      </c>
      <c r="D28" t="s">
        <v>11</v>
      </c>
      <c r="E28">
        <v>49000</v>
      </c>
      <c r="F28">
        <v>29</v>
      </c>
      <c r="G28">
        <v>1421000</v>
      </c>
    </row>
    <row r="29" spans="1:7" x14ac:dyDescent="0.35">
      <c r="A29" s="24">
        <v>45239</v>
      </c>
      <c r="B29" t="s">
        <v>19</v>
      </c>
      <c r="C29" t="s">
        <v>16</v>
      </c>
      <c r="D29" t="s">
        <v>14</v>
      </c>
      <c r="E29">
        <v>75200</v>
      </c>
      <c r="F29">
        <v>38</v>
      </c>
      <c r="G29">
        <v>2857600</v>
      </c>
    </row>
    <row r="30" spans="1:7" x14ac:dyDescent="0.35">
      <c r="A30" s="24">
        <v>45299</v>
      </c>
      <c r="B30" t="s">
        <v>15</v>
      </c>
      <c r="C30" t="s">
        <v>16</v>
      </c>
      <c r="D30" t="s">
        <v>11</v>
      </c>
      <c r="E30">
        <v>47800</v>
      </c>
      <c r="F30">
        <v>9</v>
      </c>
      <c r="G30">
        <v>430200</v>
      </c>
    </row>
    <row r="31" spans="1:7" x14ac:dyDescent="0.35">
      <c r="A31" s="24">
        <v>45302</v>
      </c>
      <c r="B31" t="s">
        <v>19</v>
      </c>
      <c r="C31" t="s">
        <v>16</v>
      </c>
      <c r="D31" t="s">
        <v>9</v>
      </c>
      <c r="E31">
        <v>22000</v>
      </c>
      <c r="F31">
        <v>42</v>
      </c>
      <c r="G31">
        <v>924000</v>
      </c>
    </row>
    <row r="32" spans="1:7" x14ac:dyDescent="0.35">
      <c r="A32" s="24">
        <v>45317</v>
      </c>
      <c r="B32" t="s">
        <v>10</v>
      </c>
      <c r="C32" t="s">
        <v>16</v>
      </c>
      <c r="D32" t="s">
        <v>21</v>
      </c>
      <c r="E32">
        <v>92000</v>
      </c>
      <c r="F32">
        <v>7</v>
      </c>
      <c r="G32">
        <v>644000</v>
      </c>
    </row>
    <row r="33" spans="1:7" x14ac:dyDescent="0.35">
      <c r="A33" s="24">
        <v>45350</v>
      </c>
      <c r="B33" t="s">
        <v>7</v>
      </c>
      <c r="C33" t="s">
        <v>16</v>
      </c>
      <c r="D33" t="s">
        <v>21</v>
      </c>
      <c r="E33">
        <v>13999</v>
      </c>
      <c r="F33">
        <v>37</v>
      </c>
      <c r="G33">
        <v>517963</v>
      </c>
    </row>
    <row r="34" spans="1:7" x14ac:dyDescent="0.35">
      <c r="A34" s="24">
        <v>45374</v>
      </c>
      <c r="B34" t="s">
        <v>19</v>
      </c>
      <c r="C34" t="s">
        <v>16</v>
      </c>
      <c r="D34" t="s">
        <v>14</v>
      </c>
      <c r="E34">
        <v>499</v>
      </c>
      <c r="F34">
        <v>4</v>
      </c>
      <c r="G34">
        <v>1996</v>
      </c>
    </row>
    <row r="35" spans="1:7" x14ac:dyDescent="0.35">
      <c r="A35" s="24">
        <v>45398</v>
      </c>
      <c r="B35" t="s">
        <v>23</v>
      </c>
      <c r="C35" t="s">
        <v>16</v>
      </c>
      <c r="D35" t="s">
        <v>14</v>
      </c>
      <c r="E35">
        <v>1999</v>
      </c>
      <c r="F35">
        <v>37</v>
      </c>
      <c r="G35">
        <v>73963</v>
      </c>
    </row>
    <row r="36" spans="1:7" x14ac:dyDescent="0.35">
      <c r="A36" s="24">
        <v>45425</v>
      </c>
      <c r="B36" t="s">
        <v>23</v>
      </c>
      <c r="C36" t="s">
        <v>16</v>
      </c>
      <c r="D36" t="s">
        <v>18</v>
      </c>
      <c r="E36">
        <v>35600</v>
      </c>
      <c r="F36">
        <v>16</v>
      </c>
      <c r="G36">
        <v>569600</v>
      </c>
    </row>
    <row r="37" spans="1:7" x14ac:dyDescent="0.35">
      <c r="A37" s="24">
        <v>45437</v>
      </c>
      <c r="B37" t="s">
        <v>23</v>
      </c>
      <c r="C37" t="s">
        <v>16</v>
      </c>
      <c r="D37" t="s">
        <v>14</v>
      </c>
      <c r="E37">
        <v>990</v>
      </c>
      <c r="F37">
        <v>12</v>
      </c>
      <c r="G37">
        <v>11880</v>
      </c>
    </row>
    <row r="38" spans="1:7" x14ac:dyDescent="0.35">
      <c r="A38" s="24">
        <v>45443</v>
      </c>
      <c r="B38" t="s">
        <v>23</v>
      </c>
      <c r="C38" t="s">
        <v>16</v>
      </c>
      <c r="D38" t="s">
        <v>9</v>
      </c>
      <c r="E38">
        <v>1499</v>
      </c>
      <c r="F38">
        <v>15</v>
      </c>
      <c r="G38">
        <v>22485</v>
      </c>
    </row>
    <row r="39" spans="1:7" x14ac:dyDescent="0.35">
      <c r="A39" s="24">
        <v>45452</v>
      </c>
      <c r="B39" t="s">
        <v>12</v>
      </c>
      <c r="C39" t="s">
        <v>16</v>
      </c>
      <c r="D39" t="s">
        <v>18</v>
      </c>
      <c r="E39">
        <v>5599</v>
      </c>
      <c r="F39">
        <v>35</v>
      </c>
      <c r="G39">
        <v>195965</v>
      </c>
    </row>
    <row r="40" spans="1:7" x14ac:dyDescent="0.35">
      <c r="A40" s="24">
        <v>45476</v>
      </c>
      <c r="B40" t="s">
        <v>19</v>
      </c>
      <c r="C40" t="s">
        <v>16</v>
      </c>
      <c r="D40" t="s">
        <v>24</v>
      </c>
      <c r="E40">
        <v>7999</v>
      </c>
      <c r="F40">
        <v>31</v>
      </c>
      <c r="G40">
        <v>247969</v>
      </c>
    </row>
    <row r="41" spans="1:7" x14ac:dyDescent="0.35">
      <c r="A41" s="24">
        <v>45518</v>
      </c>
      <c r="B41" t="s">
        <v>19</v>
      </c>
      <c r="C41" t="s">
        <v>16</v>
      </c>
      <c r="D41" t="s">
        <v>18</v>
      </c>
      <c r="E41">
        <v>2999</v>
      </c>
      <c r="F41">
        <v>33</v>
      </c>
      <c r="G41">
        <v>98967</v>
      </c>
    </row>
    <row r="42" spans="1:7" x14ac:dyDescent="0.35">
      <c r="A42" s="24">
        <v>45536</v>
      </c>
      <c r="B42" t="s">
        <v>23</v>
      </c>
      <c r="C42" t="s">
        <v>16</v>
      </c>
      <c r="D42" t="s">
        <v>18</v>
      </c>
      <c r="E42">
        <v>2900</v>
      </c>
      <c r="F42">
        <v>49</v>
      </c>
      <c r="G42">
        <v>142100</v>
      </c>
    </row>
    <row r="43" spans="1:7" x14ac:dyDescent="0.35">
      <c r="A43" s="24">
        <v>45554</v>
      </c>
      <c r="B43" t="s">
        <v>19</v>
      </c>
      <c r="C43" t="s">
        <v>16</v>
      </c>
      <c r="D43" t="s">
        <v>18</v>
      </c>
      <c r="E43">
        <v>79999</v>
      </c>
      <c r="F43">
        <v>9</v>
      </c>
      <c r="G43">
        <v>719991</v>
      </c>
    </row>
    <row r="44" spans="1:7" x14ac:dyDescent="0.35">
      <c r="A44" s="24">
        <v>45572</v>
      </c>
      <c r="B44" t="s">
        <v>23</v>
      </c>
      <c r="C44" t="s">
        <v>16</v>
      </c>
      <c r="D44" t="s">
        <v>14</v>
      </c>
      <c r="E44">
        <v>1999</v>
      </c>
      <c r="F44">
        <v>23</v>
      </c>
      <c r="G44">
        <v>45977</v>
      </c>
    </row>
    <row r="45" spans="1:7" x14ac:dyDescent="0.35">
      <c r="A45" s="24">
        <v>45590</v>
      </c>
      <c r="B45" t="s">
        <v>10</v>
      </c>
      <c r="C45" t="s">
        <v>16</v>
      </c>
      <c r="D45" t="s">
        <v>18</v>
      </c>
      <c r="E45">
        <v>13999</v>
      </c>
      <c r="F45">
        <v>22</v>
      </c>
      <c r="G45">
        <v>307978</v>
      </c>
    </row>
    <row r="46" spans="1:7" x14ac:dyDescent="0.35">
      <c r="A46" s="24">
        <v>45599</v>
      </c>
      <c r="B46" t="s">
        <v>19</v>
      </c>
      <c r="C46" t="s">
        <v>16</v>
      </c>
      <c r="D46" t="s">
        <v>11</v>
      </c>
      <c r="E46">
        <v>22000</v>
      </c>
      <c r="F46">
        <v>17</v>
      </c>
      <c r="G46">
        <v>374000</v>
      </c>
    </row>
    <row r="47" spans="1:7" x14ac:dyDescent="0.35">
      <c r="A47" s="24">
        <v>45620</v>
      </c>
      <c r="B47" t="s">
        <v>19</v>
      </c>
      <c r="C47" t="s">
        <v>16</v>
      </c>
      <c r="D47" t="s">
        <v>18</v>
      </c>
      <c r="E47">
        <v>7999</v>
      </c>
      <c r="F47">
        <v>14</v>
      </c>
      <c r="G47">
        <v>111986</v>
      </c>
    </row>
    <row r="48" spans="1:7" x14ac:dyDescent="0.35">
      <c r="A48" s="24">
        <v>45629</v>
      </c>
      <c r="B48" t="s">
        <v>10</v>
      </c>
      <c r="C48" t="s">
        <v>16</v>
      </c>
      <c r="D48" t="s">
        <v>11</v>
      </c>
      <c r="E48">
        <v>1999</v>
      </c>
      <c r="F48">
        <v>37</v>
      </c>
      <c r="G48">
        <v>73963</v>
      </c>
    </row>
    <row r="49" spans="1:7" x14ac:dyDescent="0.35">
      <c r="A49" s="24">
        <v>45641</v>
      </c>
      <c r="B49" t="s">
        <v>12</v>
      </c>
      <c r="C49" t="s">
        <v>16</v>
      </c>
      <c r="D49" t="s">
        <v>14</v>
      </c>
      <c r="E49">
        <v>52000</v>
      </c>
      <c r="F49">
        <v>29</v>
      </c>
      <c r="G49">
        <v>1508000</v>
      </c>
    </row>
    <row r="50" spans="1:7" x14ac:dyDescent="0.35">
      <c r="A50" s="24">
        <v>45656</v>
      </c>
      <c r="B50" t="s">
        <v>23</v>
      </c>
      <c r="C50" t="s">
        <v>16</v>
      </c>
      <c r="D50" t="s">
        <v>18</v>
      </c>
      <c r="E50">
        <v>45000</v>
      </c>
      <c r="F50">
        <v>16</v>
      </c>
      <c r="G50">
        <v>720000</v>
      </c>
    </row>
    <row r="51" spans="1:7" x14ac:dyDescent="0.35">
      <c r="A51" s="24">
        <v>45662</v>
      </c>
      <c r="B51" t="s">
        <v>12</v>
      </c>
      <c r="C51" t="s">
        <v>16</v>
      </c>
      <c r="D51" t="s">
        <v>21</v>
      </c>
      <c r="E51">
        <v>25600</v>
      </c>
      <c r="F51">
        <v>22</v>
      </c>
      <c r="G51">
        <v>563200</v>
      </c>
    </row>
    <row r="52" spans="1:7" x14ac:dyDescent="0.35">
      <c r="A52" s="24">
        <v>45668</v>
      </c>
      <c r="B52" t="s">
        <v>23</v>
      </c>
      <c r="C52" t="s">
        <v>16</v>
      </c>
      <c r="D52" t="s">
        <v>14</v>
      </c>
      <c r="E52">
        <v>99620</v>
      </c>
      <c r="F52">
        <v>12</v>
      </c>
      <c r="G52">
        <v>1195440</v>
      </c>
    </row>
    <row r="53" spans="1:7" x14ac:dyDescent="0.35">
      <c r="A53" s="24">
        <v>45677</v>
      </c>
      <c r="B53" t="s">
        <v>7</v>
      </c>
      <c r="C53" t="s">
        <v>16</v>
      </c>
      <c r="D53" t="s">
        <v>21</v>
      </c>
      <c r="E53">
        <v>49500</v>
      </c>
      <c r="F53">
        <v>26</v>
      </c>
      <c r="G53">
        <v>1287000</v>
      </c>
    </row>
    <row r="54" spans="1:7" x14ac:dyDescent="0.35">
      <c r="A54" s="24">
        <v>45692</v>
      </c>
      <c r="B54" t="s">
        <v>12</v>
      </c>
      <c r="C54" t="s">
        <v>16</v>
      </c>
      <c r="D54" t="s">
        <v>9</v>
      </c>
      <c r="E54">
        <v>14500</v>
      </c>
      <c r="F54">
        <v>47</v>
      </c>
      <c r="G54">
        <v>681500</v>
      </c>
    </row>
    <row r="55" spans="1:7" x14ac:dyDescent="0.35">
      <c r="A55" s="24">
        <v>45701</v>
      </c>
      <c r="B55" t="s">
        <v>19</v>
      </c>
      <c r="C55" t="s">
        <v>16</v>
      </c>
      <c r="D55" t="s">
        <v>14</v>
      </c>
      <c r="E55">
        <v>52000</v>
      </c>
      <c r="F55">
        <v>41</v>
      </c>
      <c r="G55">
        <v>2132000</v>
      </c>
    </row>
    <row r="56" spans="1:7" x14ac:dyDescent="0.35">
      <c r="A56" s="24">
        <v>45713</v>
      </c>
      <c r="B56" t="s">
        <v>23</v>
      </c>
      <c r="C56" t="s">
        <v>16</v>
      </c>
      <c r="D56" t="s">
        <v>14</v>
      </c>
      <c r="E56">
        <v>990</v>
      </c>
      <c r="F56">
        <v>43</v>
      </c>
      <c r="G56">
        <v>42570</v>
      </c>
    </row>
    <row r="57" spans="1:7" x14ac:dyDescent="0.35">
      <c r="A57" s="24">
        <v>45728</v>
      </c>
      <c r="B57" t="s">
        <v>12</v>
      </c>
      <c r="C57" t="s">
        <v>16</v>
      </c>
      <c r="D57" t="s">
        <v>11</v>
      </c>
      <c r="E57">
        <v>1499</v>
      </c>
      <c r="F57">
        <v>37</v>
      </c>
      <c r="G57">
        <v>55463</v>
      </c>
    </row>
    <row r="58" spans="1:7" x14ac:dyDescent="0.35">
      <c r="A58" s="24">
        <v>45752</v>
      </c>
      <c r="B58" t="s">
        <v>10</v>
      </c>
      <c r="C58" t="s">
        <v>16</v>
      </c>
      <c r="D58" t="s">
        <v>24</v>
      </c>
      <c r="E58">
        <v>86540</v>
      </c>
      <c r="F58">
        <v>6</v>
      </c>
      <c r="G58">
        <v>519240</v>
      </c>
    </row>
    <row r="59" spans="1:7" x14ac:dyDescent="0.35">
      <c r="A59" s="24">
        <v>45764</v>
      </c>
      <c r="B59" t="s">
        <v>12</v>
      </c>
      <c r="C59" t="s">
        <v>16</v>
      </c>
      <c r="D59" t="s">
        <v>21</v>
      </c>
      <c r="E59">
        <v>25600</v>
      </c>
      <c r="F59">
        <v>22</v>
      </c>
      <c r="G59">
        <v>563200</v>
      </c>
    </row>
    <row r="60" spans="1:7" x14ac:dyDescent="0.35">
      <c r="A60" s="24">
        <v>45770</v>
      </c>
      <c r="B60" t="s">
        <v>23</v>
      </c>
      <c r="C60" t="s">
        <v>16</v>
      </c>
      <c r="D60" t="s">
        <v>14</v>
      </c>
      <c r="E60">
        <v>99620</v>
      </c>
      <c r="F60">
        <v>12</v>
      </c>
      <c r="G60">
        <v>1195440</v>
      </c>
    </row>
    <row r="61" spans="1:7" x14ac:dyDescent="0.35">
      <c r="A61" s="24">
        <v>45779</v>
      </c>
      <c r="B61" t="s">
        <v>7</v>
      </c>
      <c r="C61" t="s">
        <v>16</v>
      </c>
      <c r="D61" t="s">
        <v>21</v>
      </c>
      <c r="E61">
        <v>49500</v>
      </c>
      <c r="F61">
        <v>26</v>
      </c>
      <c r="G61">
        <v>1287000</v>
      </c>
    </row>
    <row r="62" spans="1:7" x14ac:dyDescent="0.35">
      <c r="A62" s="24">
        <v>45794</v>
      </c>
      <c r="B62" t="s">
        <v>12</v>
      </c>
      <c r="C62" t="s">
        <v>16</v>
      </c>
      <c r="D62" t="s">
        <v>9</v>
      </c>
      <c r="E62">
        <v>14500</v>
      </c>
      <c r="F62">
        <v>47</v>
      </c>
      <c r="G62">
        <v>681500</v>
      </c>
    </row>
    <row r="63" spans="1:7" x14ac:dyDescent="0.35">
      <c r="A63" s="24">
        <v>45803</v>
      </c>
      <c r="B63" t="s">
        <v>19</v>
      </c>
      <c r="C63" t="s">
        <v>16</v>
      </c>
      <c r="D63" t="s">
        <v>14</v>
      </c>
      <c r="E63">
        <v>52000</v>
      </c>
      <c r="F63">
        <v>41</v>
      </c>
      <c r="G63">
        <v>2132000</v>
      </c>
    </row>
    <row r="64" spans="1:7" x14ac:dyDescent="0.35">
      <c r="A64" s="24">
        <v>45815</v>
      </c>
      <c r="B64" t="s">
        <v>23</v>
      </c>
      <c r="C64" t="s">
        <v>16</v>
      </c>
      <c r="D64" t="s">
        <v>14</v>
      </c>
      <c r="E64">
        <v>990</v>
      </c>
      <c r="F64">
        <v>43</v>
      </c>
      <c r="G64">
        <v>42570</v>
      </c>
    </row>
    <row r="65" spans="1:7" x14ac:dyDescent="0.35">
      <c r="A65" s="24">
        <v>45830</v>
      </c>
      <c r="B65" t="s">
        <v>12</v>
      </c>
      <c r="C65" t="s">
        <v>16</v>
      </c>
      <c r="D65" t="s">
        <v>11</v>
      </c>
      <c r="E65">
        <v>1499</v>
      </c>
      <c r="F65">
        <v>37</v>
      </c>
      <c r="G65">
        <v>55463</v>
      </c>
    </row>
    <row r="66" spans="1:7" x14ac:dyDescent="0.35">
      <c r="A66" s="24">
        <v>45854</v>
      </c>
      <c r="B66" t="s">
        <v>10</v>
      </c>
      <c r="C66" t="s">
        <v>16</v>
      </c>
      <c r="D66" t="s">
        <v>24</v>
      </c>
      <c r="E66">
        <v>86540</v>
      </c>
      <c r="F66">
        <v>6</v>
      </c>
      <c r="G66">
        <v>519240</v>
      </c>
    </row>
    <row r="67" spans="1:7" x14ac:dyDescent="0.35">
      <c r="A67" s="24">
        <v>44927</v>
      </c>
      <c r="B67" t="s">
        <v>7</v>
      </c>
      <c r="C67" t="s">
        <v>8</v>
      </c>
      <c r="D67" t="s">
        <v>9</v>
      </c>
      <c r="E67">
        <v>499</v>
      </c>
      <c r="F67">
        <v>50</v>
      </c>
      <c r="G67">
        <v>24950</v>
      </c>
    </row>
    <row r="68" spans="1:7" x14ac:dyDescent="0.35">
      <c r="A68" s="24">
        <v>44930</v>
      </c>
      <c r="B68" t="s">
        <v>10</v>
      </c>
      <c r="C68" t="s">
        <v>8</v>
      </c>
      <c r="D68" t="s">
        <v>11</v>
      </c>
      <c r="E68">
        <v>5599</v>
      </c>
      <c r="F68">
        <v>33</v>
      </c>
      <c r="G68">
        <v>184767</v>
      </c>
    </row>
    <row r="69" spans="1:7" x14ac:dyDescent="0.35">
      <c r="A69" s="24">
        <v>44942</v>
      </c>
      <c r="B69" t="s">
        <v>10</v>
      </c>
      <c r="C69" t="s">
        <v>8</v>
      </c>
      <c r="D69" t="s">
        <v>18</v>
      </c>
      <c r="E69">
        <v>2550</v>
      </c>
      <c r="F69">
        <v>48</v>
      </c>
      <c r="G69">
        <v>122400</v>
      </c>
    </row>
    <row r="70" spans="1:7" x14ac:dyDescent="0.35">
      <c r="A70" s="24">
        <v>44954</v>
      </c>
      <c r="B70" t="s">
        <v>7</v>
      </c>
      <c r="C70" t="s">
        <v>8</v>
      </c>
      <c r="D70" t="s">
        <v>9</v>
      </c>
      <c r="E70">
        <v>5599</v>
      </c>
      <c r="F70">
        <v>41</v>
      </c>
      <c r="G70">
        <v>229559</v>
      </c>
    </row>
    <row r="71" spans="1:7" x14ac:dyDescent="0.35">
      <c r="A71" s="24">
        <v>45005</v>
      </c>
      <c r="B71" t="s">
        <v>7</v>
      </c>
      <c r="C71" t="s">
        <v>8</v>
      </c>
      <c r="D71" t="s">
        <v>9</v>
      </c>
      <c r="E71">
        <v>2550</v>
      </c>
      <c r="F71">
        <v>22</v>
      </c>
      <c r="G71">
        <v>56100</v>
      </c>
    </row>
    <row r="72" spans="1:7" x14ac:dyDescent="0.35">
      <c r="A72" s="24">
        <v>45020</v>
      </c>
      <c r="B72" t="s">
        <v>7</v>
      </c>
      <c r="C72" t="s">
        <v>8</v>
      </c>
      <c r="D72" t="s">
        <v>14</v>
      </c>
      <c r="E72">
        <v>1450</v>
      </c>
      <c r="F72">
        <v>20</v>
      </c>
      <c r="G72">
        <v>29000</v>
      </c>
    </row>
    <row r="73" spans="1:7" x14ac:dyDescent="0.35">
      <c r="A73" s="24">
        <v>45026</v>
      </c>
      <c r="B73" t="s">
        <v>10</v>
      </c>
      <c r="C73" t="s">
        <v>8</v>
      </c>
      <c r="D73" t="s">
        <v>9</v>
      </c>
      <c r="E73">
        <v>800</v>
      </c>
      <c r="F73">
        <v>43</v>
      </c>
      <c r="G73">
        <v>34400</v>
      </c>
    </row>
    <row r="74" spans="1:7" x14ac:dyDescent="0.35">
      <c r="A74" s="24">
        <v>45032</v>
      </c>
      <c r="B74" t="s">
        <v>7</v>
      </c>
      <c r="C74" t="s">
        <v>8</v>
      </c>
      <c r="D74" t="s">
        <v>11</v>
      </c>
      <c r="E74">
        <v>13999</v>
      </c>
      <c r="F74">
        <v>37</v>
      </c>
      <c r="G74">
        <v>517963</v>
      </c>
    </row>
    <row r="75" spans="1:7" x14ac:dyDescent="0.35">
      <c r="A75" s="24">
        <v>45041</v>
      </c>
      <c r="B75" t="s">
        <v>7</v>
      </c>
      <c r="C75" t="s">
        <v>8</v>
      </c>
      <c r="D75" t="s">
        <v>14</v>
      </c>
      <c r="E75">
        <v>13999</v>
      </c>
      <c r="F75">
        <v>22</v>
      </c>
      <c r="G75">
        <v>307978</v>
      </c>
    </row>
    <row r="76" spans="1:7" x14ac:dyDescent="0.35">
      <c r="A76" s="24">
        <v>45128</v>
      </c>
      <c r="B76" t="s">
        <v>7</v>
      </c>
      <c r="C76" t="s">
        <v>8</v>
      </c>
      <c r="D76" t="s">
        <v>21</v>
      </c>
      <c r="E76">
        <v>499</v>
      </c>
      <c r="F76">
        <v>26</v>
      </c>
      <c r="G76">
        <v>12974</v>
      </c>
    </row>
    <row r="77" spans="1:7" x14ac:dyDescent="0.35">
      <c r="A77" s="24">
        <v>45134</v>
      </c>
      <c r="B77" t="s">
        <v>7</v>
      </c>
      <c r="C77" t="s">
        <v>8</v>
      </c>
      <c r="D77" t="s">
        <v>18</v>
      </c>
      <c r="E77">
        <v>5599</v>
      </c>
      <c r="F77">
        <v>35</v>
      </c>
      <c r="G77">
        <v>195965</v>
      </c>
    </row>
    <row r="78" spans="1:7" x14ac:dyDescent="0.35">
      <c r="A78" s="24">
        <v>45140</v>
      </c>
      <c r="B78" t="s">
        <v>7</v>
      </c>
      <c r="C78" t="s">
        <v>8</v>
      </c>
      <c r="D78" t="s">
        <v>14</v>
      </c>
      <c r="E78">
        <v>2550</v>
      </c>
      <c r="F78">
        <v>20</v>
      </c>
      <c r="G78">
        <v>51000</v>
      </c>
    </row>
    <row r="79" spans="1:7" x14ac:dyDescent="0.35">
      <c r="A79" s="24">
        <v>45173</v>
      </c>
      <c r="B79" t="s">
        <v>10</v>
      </c>
      <c r="C79" t="s">
        <v>8</v>
      </c>
      <c r="D79" t="s">
        <v>14</v>
      </c>
      <c r="E79">
        <v>1450</v>
      </c>
      <c r="F79">
        <v>19</v>
      </c>
      <c r="G79">
        <v>27550</v>
      </c>
    </row>
    <row r="80" spans="1:7" x14ac:dyDescent="0.35">
      <c r="A80" s="24">
        <v>45209</v>
      </c>
      <c r="B80" t="s">
        <v>12</v>
      </c>
      <c r="C80" t="s">
        <v>8</v>
      </c>
      <c r="D80" t="s">
        <v>18</v>
      </c>
      <c r="E80">
        <v>1450</v>
      </c>
      <c r="F80">
        <v>22</v>
      </c>
      <c r="G80">
        <v>31900</v>
      </c>
    </row>
    <row r="81" spans="1:7" x14ac:dyDescent="0.35">
      <c r="A81" s="24">
        <v>45230</v>
      </c>
      <c r="B81" t="s">
        <v>7</v>
      </c>
      <c r="C81" t="s">
        <v>8</v>
      </c>
      <c r="D81" t="s">
        <v>21</v>
      </c>
      <c r="E81">
        <v>5599</v>
      </c>
      <c r="F81">
        <v>36</v>
      </c>
      <c r="G81">
        <v>201564</v>
      </c>
    </row>
    <row r="82" spans="1:7" x14ac:dyDescent="0.35">
      <c r="A82" s="24">
        <v>45245</v>
      </c>
      <c r="B82" t="s">
        <v>7</v>
      </c>
      <c r="C82" t="s">
        <v>8</v>
      </c>
      <c r="D82" t="s">
        <v>9</v>
      </c>
      <c r="E82">
        <v>499</v>
      </c>
      <c r="F82">
        <v>50</v>
      </c>
      <c r="G82">
        <v>24950</v>
      </c>
    </row>
    <row r="83" spans="1:7" x14ac:dyDescent="0.35">
      <c r="A83" s="24">
        <v>45248</v>
      </c>
      <c r="B83" t="s">
        <v>7</v>
      </c>
      <c r="C83" t="s">
        <v>8</v>
      </c>
      <c r="D83" t="s">
        <v>11</v>
      </c>
      <c r="E83">
        <v>5599</v>
      </c>
      <c r="F83">
        <v>33</v>
      </c>
      <c r="G83">
        <v>184767</v>
      </c>
    </row>
    <row r="84" spans="1:7" x14ac:dyDescent="0.35">
      <c r="A84" s="24">
        <v>45260</v>
      </c>
      <c r="B84" t="s">
        <v>12</v>
      </c>
      <c r="C84" t="s">
        <v>8</v>
      </c>
      <c r="D84" t="s">
        <v>18</v>
      </c>
      <c r="E84">
        <v>2550</v>
      </c>
      <c r="F84">
        <v>48</v>
      </c>
      <c r="G84">
        <v>122400</v>
      </c>
    </row>
    <row r="85" spans="1:7" x14ac:dyDescent="0.35">
      <c r="A85" s="24">
        <v>45266</v>
      </c>
      <c r="B85" t="s">
        <v>10</v>
      </c>
      <c r="C85" t="s">
        <v>8</v>
      </c>
      <c r="D85" t="s">
        <v>14</v>
      </c>
      <c r="E85">
        <v>800</v>
      </c>
      <c r="F85">
        <v>39</v>
      </c>
      <c r="G85">
        <v>31200</v>
      </c>
    </row>
    <row r="86" spans="1:7" x14ac:dyDescent="0.35">
      <c r="A86" s="24">
        <v>45272</v>
      </c>
      <c r="B86" t="s">
        <v>7</v>
      </c>
      <c r="C86" t="s">
        <v>8</v>
      </c>
      <c r="D86" t="s">
        <v>9</v>
      </c>
      <c r="E86">
        <v>5599</v>
      </c>
      <c r="F86">
        <v>41</v>
      </c>
      <c r="G86">
        <v>229559</v>
      </c>
    </row>
    <row r="87" spans="1:7" x14ac:dyDescent="0.35">
      <c r="A87" s="24">
        <v>45323</v>
      </c>
      <c r="B87" t="s">
        <v>7</v>
      </c>
      <c r="C87" t="s">
        <v>8</v>
      </c>
      <c r="D87" t="s">
        <v>9</v>
      </c>
      <c r="E87">
        <v>2550</v>
      </c>
      <c r="F87">
        <v>22</v>
      </c>
      <c r="G87">
        <v>56100</v>
      </c>
    </row>
    <row r="88" spans="1:7" x14ac:dyDescent="0.35">
      <c r="A88" s="24">
        <v>45338</v>
      </c>
      <c r="B88" t="s">
        <v>7</v>
      </c>
      <c r="C88" t="s">
        <v>8</v>
      </c>
      <c r="D88" t="s">
        <v>11</v>
      </c>
      <c r="E88">
        <v>1450</v>
      </c>
      <c r="F88">
        <v>20</v>
      </c>
      <c r="G88">
        <v>29000</v>
      </c>
    </row>
    <row r="89" spans="1:7" x14ac:dyDescent="0.35">
      <c r="A89" s="24">
        <v>45344</v>
      </c>
      <c r="B89" t="s">
        <v>10</v>
      </c>
      <c r="C89" t="s">
        <v>8</v>
      </c>
      <c r="D89" t="s">
        <v>24</v>
      </c>
      <c r="E89">
        <v>800</v>
      </c>
      <c r="F89">
        <v>43</v>
      </c>
      <c r="G89">
        <v>34400</v>
      </c>
    </row>
    <row r="90" spans="1:7" x14ac:dyDescent="0.35">
      <c r="A90" s="24">
        <v>45359</v>
      </c>
      <c r="B90" t="s">
        <v>7</v>
      </c>
      <c r="C90" t="s">
        <v>8</v>
      </c>
      <c r="D90" t="s">
        <v>18</v>
      </c>
      <c r="E90">
        <v>13999</v>
      </c>
      <c r="F90">
        <v>22</v>
      </c>
      <c r="G90">
        <v>307978</v>
      </c>
    </row>
    <row r="91" spans="1:7" x14ac:dyDescent="0.35">
      <c r="A91" s="24">
        <v>45413</v>
      </c>
      <c r="B91" t="s">
        <v>10</v>
      </c>
      <c r="C91" t="s">
        <v>8</v>
      </c>
      <c r="D91" t="s">
        <v>18</v>
      </c>
      <c r="E91">
        <v>13999</v>
      </c>
      <c r="F91">
        <v>34</v>
      </c>
      <c r="G91">
        <v>475966</v>
      </c>
    </row>
    <row r="92" spans="1:7" x14ac:dyDescent="0.35">
      <c r="A92" s="24">
        <v>45446</v>
      </c>
      <c r="B92" t="s">
        <v>7</v>
      </c>
      <c r="C92" t="s">
        <v>8</v>
      </c>
      <c r="D92" t="s">
        <v>21</v>
      </c>
      <c r="E92">
        <v>499</v>
      </c>
      <c r="F92">
        <v>26</v>
      </c>
      <c r="G92">
        <v>12974</v>
      </c>
    </row>
    <row r="93" spans="1:7" x14ac:dyDescent="0.35">
      <c r="A93" s="24">
        <v>45458</v>
      </c>
      <c r="B93" t="s">
        <v>7</v>
      </c>
      <c r="C93" t="s">
        <v>8</v>
      </c>
      <c r="D93" t="s">
        <v>14</v>
      </c>
      <c r="E93">
        <v>2550</v>
      </c>
      <c r="F93">
        <v>20</v>
      </c>
      <c r="G93">
        <v>51000</v>
      </c>
    </row>
    <row r="94" spans="1:7" x14ac:dyDescent="0.35">
      <c r="A94" s="24">
        <v>45461</v>
      </c>
      <c r="B94" t="s">
        <v>7</v>
      </c>
      <c r="C94" t="s">
        <v>8</v>
      </c>
      <c r="D94" t="s">
        <v>9</v>
      </c>
      <c r="E94">
        <v>1450</v>
      </c>
      <c r="F94">
        <v>47</v>
      </c>
      <c r="G94">
        <v>68150</v>
      </c>
    </row>
    <row r="95" spans="1:7" x14ac:dyDescent="0.35">
      <c r="A95" s="24">
        <v>45491</v>
      </c>
      <c r="B95" t="s">
        <v>7</v>
      </c>
      <c r="C95" t="s">
        <v>8</v>
      </c>
      <c r="D95" t="s">
        <v>14</v>
      </c>
      <c r="E95">
        <v>1450</v>
      </c>
      <c r="F95">
        <v>19</v>
      </c>
      <c r="G95">
        <v>27550</v>
      </c>
    </row>
    <row r="96" spans="1:7" x14ac:dyDescent="0.35">
      <c r="A96" s="24">
        <v>45527</v>
      </c>
      <c r="B96" t="s">
        <v>10</v>
      </c>
      <c r="C96" t="s">
        <v>8</v>
      </c>
      <c r="D96" t="s">
        <v>18</v>
      </c>
      <c r="E96">
        <v>1450</v>
      </c>
      <c r="F96">
        <v>22</v>
      </c>
      <c r="G96">
        <v>31900</v>
      </c>
    </row>
    <row r="97" spans="1:7" x14ac:dyDescent="0.35">
      <c r="A97" s="24">
        <v>45545</v>
      </c>
      <c r="B97" t="s">
        <v>7</v>
      </c>
      <c r="C97" t="s">
        <v>8</v>
      </c>
      <c r="D97" t="s">
        <v>14</v>
      </c>
      <c r="E97">
        <v>499</v>
      </c>
      <c r="F97">
        <v>29</v>
      </c>
      <c r="G97">
        <v>14471</v>
      </c>
    </row>
    <row r="98" spans="1:7" x14ac:dyDescent="0.35">
      <c r="A98" s="24">
        <v>45548</v>
      </c>
      <c r="B98" t="s">
        <v>12</v>
      </c>
      <c r="C98" t="s">
        <v>8</v>
      </c>
      <c r="D98" t="s">
        <v>24</v>
      </c>
      <c r="E98">
        <v>5599</v>
      </c>
      <c r="F98">
        <v>36</v>
      </c>
      <c r="G98">
        <v>201564</v>
      </c>
    </row>
    <row r="99" spans="1:7" x14ac:dyDescent="0.35">
      <c r="A99" s="24">
        <v>45569</v>
      </c>
      <c r="B99" t="s">
        <v>7</v>
      </c>
      <c r="C99" t="s">
        <v>8</v>
      </c>
      <c r="D99" t="s">
        <v>11</v>
      </c>
      <c r="E99">
        <v>1450</v>
      </c>
      <c r="F99">
        <v>20</v>
      </c>
      <c r="G99">
        <v>29000</v>
      </c>
    </row>
    <row r="100" spans="1:7" x14ac:dyDescent="0.35">
      <c r="A100" s="24">
        <v>45575</v>
      </c>
      <c r="B100" t="s">
        <v>7</v>
      </c>
      <c r="C100" t="s">
        <v>8</v>
      </c>
      <c r="D100" t="s">
        <v>18</v>
      </c>
      <c r="E100">
        <v>800</v>
      </c>
      <c r="F100">
        <v>43</v>
      </c>
      <c r="G100">
        <v>34400</v>
      </c>
    </row>
    <row r="101" spans="1:7" x14ac:dyDescent="0.35">
      <c r="A101" s="24">
        <v>45581</v>
      </c>
      <c r="B101" t="s">
        <v>7</v>
      </c>
      <c r="C101" t="s">
        <v>8</v>
      </c>
      <c r="D101" t="s">
        <v>14</v>
      </c>
      <c r="E101">
        <v>13999</v>
      </c>
      <c r="F101">
        <v>37</v>
      </c>
      <c r="G101">
        <v>517963</v>
      </c>
    </row>
    <row r="102" spans="1:7" x14ac:dyDescent="0.35">
      <c r="A102" s="24">
        <v>45644</v>
      </c>
      <c r="B102" t="s">
        <v>7</v>
      </c>
      <c r="C102" t="s">
        <v>8</v>
      </c>
      <c r="D102" t="s">
        <v>18</v>
      </c>
      <c r="E102">
        <v>13999</v>
      </c>
      <c r="F102">
        <v>34</v>
      </c>
      <c r="G102">
        <v>475966</v>
      </c>
    </row>
    <row r="103" spans="1:7" x14ac:dyDescent="0.35">
      <c r="A103" s="24">
        <v>45683</v>
      </c>
      <c r="B103" t="s">
        <v>12</v>
      </c>
      <c r="C103" t="s">
        <v>8</v>
      </c>
      <c r="D103" t="s">
        <v>18</v>
      </c>
      <c r="E103">
        <v>5599</v>
      </c>
      <c r="F103">
        <v>35</v>
      </c>
      <c r="G103">
        <v>195965</v>
      </c>
    </row>
    <row r="104" spans="1:7" x14ac:dyDescent="0.35">
      <c r="A104" s="24">
        <v>45689</v>
      </c>
      <c r="B104" t="s">
        <v>7</v>
      </c>
      <c r="C104" t="s">
        <v>8</v>
      </c>
      <c r="D104" t="s">
        <v>24</v>
      </c>
      <c r="E104">
        <v>2550</v>
      </c>
      <c r="F104">
        <v>20</v>
      </c>
      <c r="G104">
        <v>51000</v>
      </c>
    </row>
    <row r="105" spans="1:7" x14ac:dyDescent="0.35">
      <c r="A105" s="24">
        <v>45722</v>
      </c>
      <c r="B105" t="s">
        <v>7</v>
      </c>
      <c r="C105" t="s">
        <v>8</v>
      </c>
      <c r="D105" t="s">
        <v>14</v>
      </c>
      <c r="E105">
        <v>1450</v>
      </c>
      <c r="F105">
        <v>19</v>
      </c>
      <c r="G105">
        <v>27550</v>
      </c>
    </row>
    <row r="106" spans="1:7" x14ac:dyDescent="0.35">
      <c r="A106" s="24">
        <v>45785</v>
      </c>
      <c r="B106" t="s">
        <v>12</v>
      </c>
      <c r="C106" t="s">
        <v>8</v>
      </c>
      <c r="D106" t="s">
        <v>18</v>
      </c>
      <c r="E106">
        <v>5599</v>
      </c>
      <c r="F106">
        <v>35</v>
      </c>
      <c r="G106">
        <v>195965</v>
      </c>
    </row>
    <row r="107" spans="1:7" x14ac:dyDescent="0.35">
      <c r="A107" s="24">
        <v>45791</v>
      </c>
      <c r="B107" t="s">
        <v>7</v>
      </c>
      <c r="C107" t="s">
        <v>8</v>
      </c>
      <c r="D107" t="s">
        <v>24</v>
      </c>
      <c r="E107">
        <v>2550</v>
      </c>
      <c r="F107">
        <v>20</v>
      </c>
      <c r="G107">
        <v>51000</v>
      </c>
    </row>
    <row r="108" spans="1:7" x14ac:dyDescent="0.35">
      <c r="A108" s="24">
        <v>45824</v>
      </c>
      <c r="B108" t="s">
        <v>7</v>
      </c>
      <c r="C108" t="s">
        <v>8</v>
      </c>
      <c r="D108" t="s">
        <v>14</v>
      </c>
      <c r="E108">
        <v>1450</v>
      </c>
      <c r="F108">
        <v>19</v>
      </c>
      <c r="G108">
        <v>27550</v>
      </c>
    </row>
    <row r="109" spans="1:7" x14ac:dyDescent="0.35">
      <c r="A109" s="24">
        <v>44945</v>
      </c>
      <c r="B109" t="s">
        <v>19</v>
      </c>
      <c r="C109" t="s">
        <v>20</v>
      </c>
      <c r="D109" t="s">
        <v>14</v>
      </c>
      <c r="E109">
        <v>33000</v>
      </c>
      <c r="F109">
        <v>26</v>
      </c>
      <c r="G109">
        <v>858000</v>
      </c>
    </row>
    <row r="110" spans="1:7" x14ac:dyDescent="0.35">
      <c r="A110" s="24">
        <v>44957</v>
      </c>
      <c r="B110" t="s">
        <v>19</v>
      </c>
      <c r="C110" t="s">
        <v>20</v>
      </c>
      <c r="D110" t="s">
        <v>14</v>
      </c>
      <c r="E110">
        <v>499</v>
      </c>
      <c r="F110">
        <v>39</v>
      </c>
      <c r="G110">
        <v>19461</v>
      </c>
    </row>
    <row r="111" spans="1:7" x14ac:dyDescent="0.35">
      <c r="A111" s="24">
        <v>44972</v>
      </c>
      <c r="B111" t="s">
        <v>10</v>
      </c>
      <c r="C111" t="s">
        <v>20</v>
      </c>
      <c r="D111" t="s">
        <v>21</v>
      </c>
      <c r="E111">
        <v>11999</v>
      </c>
      <c r="F111">
        <v>17</v>
      </c>
      <c r="G111">
        <v>203983</v>
      </c>
    </row>
    <row r="112" spans="1:7" x14ac:dyDescent="0.35">
      <c r="A112" s="24">
        <v>44978</v>
      </c>
      <c r="B112" t="s">
        <v>19</v>
      </c>
      <c r="C112" t="s">
        <v>20</v>
      </c>
      <c r="D112" t="s">
        <v>11</v>
      </c>
      <c r="E112">
        <v>2999</v>
      </c>
      <c r="F112">
        <v>43</v>
      </c>
      <c r="G112">
        <v>128957</v>
      </c>
    </row>
    <row r="113" spans="1:7" x14ac:dyDescent="0.35">
      <c r="A113" s="24">
        <v>44984</v>
      </c>
      <c r="B113" t="s">
        <v>10</v>
      </c>
      <c r="C113" t="s">
        <v>20</v>
      </c>
      <c r="D113" t="s">
        <v>9</v>
      </c>
      <c r="E113">
        <v>22000</v>
      </c>
      <c r="F113">
        <v>42</v>
      </c>
      <c r="G113">
        <v>924000</v>
      </c>
    </row>
    <row r="114" spans="1:7" x14ac:dyDescent="0.35">
      <c r="A114" s="24">
        <v>45008</v>
      </c>
      <c r="B114" t="s">
        <v>12</v>
      </c>
      <c r="C114" t="s">
        <v>20</v>
      </c>
      <c r="D114" t="s">
        <v>21</v>
      </c>
      <c r="E114">
        <v>22000</v>
      </c>
      <c r="F114">
        <v>4</v>
      </c>
      <c r="G114">
        <v>88000</v>
      </c>
    </row>
    <row r="115" spans="1:7" x14ac:dyDescent="0.35">
      <c r="A115" s="24">
        <v>45035</v>
      </c>
      <c r="B115" t="s">
        <v>10</v>
      </c>
      <c r="C115" t="s">
        <v>20</v>
      </c>
      <c r="D115" t="s">
        <v>18</v>
      </c>
      <c r="E115">
        <v>22000</v>
      </c>
      <c r="F115">
        <v>45</v>
      </c>
      <c r="G115">
        <v>990000</v>
      </c>
    </row>
    <row r="116" spans="1:7" x14ac:dyDescent="0.35">
      <c r="A116" s="24">
        <v>45047</v>
      </c>
      <c r="B116" t="s">
        <v>10</v>
      </c>
      <c r="C116" t="s">
        <v>20</v>
      </c>
      <c r="D116" t="s">
        <v>18</v>
      </c>
      <c r="E116">
        <v>33000</v>
      </c>
      <c r="F116">
        <v>16</v>
      </c>
      <c r="G116">
        <v>528000</v>
      </c>
    </row>
    <row r="117" spans="1:7" x14ac:dyDescent="0.35">
      <c r="A117" s="24">
        <v>45050</v>
      </c>
      <c r="B117" t="s">
        <v>12</v>
      </c>
      <c r="C117" t="s">
        <v>20</v>
      </c>
      <c r="D117" t="s">
        <v>11</v>
      </c>
      <c r="E117">
        <v>22000</v>
      </c>
      <c r="F117">
        <v>17</v>
      </c>
      <c r="G117">
        <v>374000</v>
      </c>
    </row>
    <row r="118" spans="1:7" x14ac:dyDescent="0.35">
      <c r="A118" s="24">
        <v>45056</v>
      </c>
      <c r="B118" t="s">
        <v>19</v>
      </c>
      <c r="C118" t="s">
        <v>20</v>
      </c>
      <c r="D118" t="s">
        <v>14</v>
      </c>
      <c r="E118">
        <v>499</v>
      </c>
      <c r="F118">
        <v>4</v>
      </c>
      <c r="G118">
        <v>1996</v>
      </c>
    </row>
    <row r="119" spans="1:7" x14ac:dyDescent="0.35">
      <c r="A119" s="24">
        <v>45068</v>
      </c>
      <c r="B119" t="s">
        <v>19</v>
      </c>
      <c r="C119" t="s">
        <v>20</v>
      </c>
      <c r="D119" t="s">
        <v>21</v>
      </c>
      <c r="E119">
        <v>52000</v>
      </c>
      <c r="F119">
        <v>40</v>
      </c>
      <c r="G119">
        <v>2080000</v>
      </c>
    </row>
    <row r="120" spans="1:7" x14ac:dyDescent="0.35">
      <c r="A120" s="24">
        <v>45083</v>
      </c>
      <c r="B120" t="s">
        <v>19</v>
      </c>
      <c r="C120" t="s">
        <v>20</v>
      </c>
      <c r="D120" t="s">
        <v>14</v>
      </c>
      <c r="E120">
        <v>89999</v>
      </c>
      <c r="F120">
        <v>29</v>
      </c>
      <c r="G120">
        <v>2609971</v>
      </c>
    </row>
    <row r="121" spans="1:7" x14ac:dyDescent="0.35">
      <c r="A121" s="24">
        <v>45089</v>
      </c>
      <c r="B121" t="s">
        <v>19</v>
      </c>
      <c r="C121" t="s">
        <v>20</v>
      </c>
      <c r="D121" t="s">
        <v>11</v>
      </c>
      <c r="E121">
        <v>3990</v>
      </c>
      <c r="F121">
        <v>31</v>
      </c>
      <c r="G121">
        <v>123690</v>
      </c>
    </row>
    <row r="122" spans="1:7" x14ac:dyDescent="0.35">
      <c r="A122" s="24">
        <v>45092</v>
      </c>
      <c r="B122" t="s">
        <v>12</v>
      </c>
      <c r="C122" t="s">
        <v>20</v>
      </c>
      <c r="D122" t="s">
        <v>18</v>
      </c>
      <c r="E122">
        <v>52000</v>
      </c>
      <c r="F122">
        <v>29</v>
      </c>
      <c r="G122">
        <v>1508000</v>
      </c>
    </row>
    <row r="123" spans="1:7" x14ac:dyDescent="0.35">
      <c r="A123" s="24">
        <v>45152</v>
      </c>
      <c r="B123" t="s">
        <v>10</v>
      </c>
      <c r="C123" t="s">
        <v>20</v>
      </c>
      <c r="D123" t="s">
        <v>21</v>
      </c>
      <c r="E123">
        <v>52000</v>
      </c>
      <c r="F123">
        <v>41</v>
      </c>
      <c r="G123">
        <v>2132000</v>
      </c>
    </row>
    <row r="124" spans="1:7" x14ac:dyDescent="0.35">
      <c r="A124" s="24">
        <v>45167</v>
      </c>
      <c r="B124" t="s">
        <v>19</v>
      </c>
      <c r="C124" t="s">
        <v>20</v>
      </c>
      <c r="D124" t="s">
        <v>9</v>
      </c>
      <c r="E124">
        <v>11999</v>
      </c>
      <c r="F124">
        <v>37</v>
      </c>
      <c r="G124">
        <v>443963</v>
      </c>
    </row>
    <row r="125" spans="1:7" x14ac:dyDescent="0.35">
      <c r="A125" s="24">
        <v>45182</v>
      </c>
      <c r="B125" t="s">
        <v>19</v>
      </c>
      <c r="C125" t="s">
        <v>20</v>
      </c>
      <c r="D125" t="s">
        <v>14</v>
      </c>
      <c r="E125">
        <v>79999</v>
      </c>
      <c r="F125">
        <v>4</v>
      </c>
      <c r="G125">
        <v>319996</v>
      </c>
    </row>
    <row r="126" spans="1:7" x14ac:dyDescent="0.35">
      <c r="A126" s="24">
        <v>45188</v>
      </c>
      <c r="B126" t="s">
        <v>10</v>
      </c>
      <c r="C126" t="s">
        <v>20</v>
      </c>
      <c r="D126" t="s">
        <v>9</v>
      </c>
      <c r="E126">
        <v>52000</v>
      </c>
      <c r="F126">
        <v>15</v>
      </c>
      <c r="G126">
        <v>780000</v>
      </c>
    </row>
    <row r="127" spans="1:7" x14ac:dyDescent="0.35">
      <c r="A127" s="24">
        <v>45200</v>
      </c>
      <c r="B127" t="s">
        <v>19</v>
      </c>
      <c r="C127" t="s">
        <v>20</v>
      </c>
      <c r="D127" t="s">
        <v>18</v>
      </c>
      <c r="E127">
        <v>2999</v>
      </c>
      <c r="F127">
        <v>33</v>
      </c>
      <c r="G127">
        <v>98967</v>
      </c>
    </row>
    <row r="128" spans="1:7" x14ac:dyDescent="0.35">
      <c r="A128" s="24">
        <v>45212</v>
      </c>
      <c r="B128" t="s">
        <v>19</v>
      </c>
      <c r="C128" t="s">
        <v>20</v>
      </c>
      <c r="D128" t="s">
        <v>9</v>
      </c>
      <c r="E128">
        <v>89999</v>
      </c>
      <c r="F128">
        <v>15</v>
      </c>
      <c r="G128">
        <v>1349985</v>
      </c>
    </row>
    <row r="129" spans="1:7" x14ac:dyDescent="0.35">
      <c r="A129" s="24">
        <v>45221</v>
      </c>
      <c r="B129" t="s">
        <v>19</v>
      </c>
      <c r="C129" t="s">
        <v>20</v>
      </c>
      <c r="D129" t="s">
        <v>21</v>
      </c>
      <c r="E129">
        <v>700</v>
      </c>
      <c r="F129">
        <v>50</v>
      </c>
      <c r="G129">
        <v>35000</v>
      </c>
    </row>
    <row r="130" spans="1:7" x14ac:dyDescent="0.35">
      <c r="A130" s="24">
        <v>45236</v>
      </c>
      <c r="B130" t="s">
        <v>12</v>
      </c>
      <c r="C130" t="s">
        <v>20</v>
      </c>
      <c r="D130" t="s">
        <v>18</v>
      </c>
      <c r="E130">
        <v>79999</v>
      </c>
      <c r="F130">
        <v>9</v>
      </c>
      <c r="G130">
        <v>719991</v>
      </c>
    </row>
    <row r="131" spans="1:7" x14ac:dyDescent="0.35">
      <c r="A131" s="24">
        <v>45263</v>
      </c>
      <c r="B131" t="s">
        <v>19</v>
      </c>
      <c r="C131" t="s">
        <v>20</v>
      </c>
      <c r="D131" t="s">
        <v>18</v>
      </c>
      <c r="E131">
        <v>33000</v>
      </c>
      <c r="F131">
        <v>26</v>
      </c>
      <c r="G131">
        <v>858000</v>
      </c>
    </row>
    <row r="132" spans="1:7" x14ac:dyDescent="0.35">
      <c r="A132" s="24">
        <v>45275</v>
      </c>
      <c r="B132" t="s">
        <v>19</v>
      </c>
      <c r="C132" t="s">
        <v>20</v>
      </c>
      <c r="D132" t="s">
        <v>9</v>
      </c>
      <c r="E132">
        <v>499</v>
      </c>
      <c r="F132">
        <v>39</v>
      </c>
      <c r="G132">
        <v>19461</v>
      </c>
    </row>
    <row r="133" spans="1:7" x14ac:dyDescent="0.35">
      <c r="A133" s="24">
        <v>45290</v>
      </c>
      <c r="B133" t="s">
        <v>10</v>
      </c>
      <c r="C133" t="s">
        <v>20</v>
      </c>
      <c r="D133" t="s">
        <v>21</v>
      </c>
      <c r="E133">
        <v>11999</v>
      </c>
      <c r="F133">
        <v>17</v>
      </c>
      <c r="G133">
        <v>203983</v>
      </c>
    </row>
    <row r="134" spans="1:7" x14ac:dyDescent="0.35">
      <c r="A134" s="24">
        <v>45293</v>
      </c>
      <c r="B134" t="s">
        <v>10</v>
      </c>
      <c r="C134" t="s">
        <v>20</v>
      </c>
      <c r="D134" t="s">
        <v>11</v>
      </c>
      <c r="E134">
        <v>999</v>
      </c>
      <c r="F134">
        <v>27</v>
      </c>
      <c r="G134">
        <v>26973</v>
      </c>
    </row>
    <row r="135" spans="1:7" x14ac:dyDescent="0.35">
      <c r="A135" s="24">
        <v>45296</v>
      </c>
      <c r="B135" t="s">
        <v>12</v>
      </c>
      <c r="C135" t="s">
        <v>20</v>
      </c>
      <c r="D135" t="s">
        <v>14</v>
      </c>
      <c r="E135">
        <v>2999</v>
      </c>
      <c r="F135">
        <v>43</v>
      </c>
      <c r="G135">
        <v>128957</v>
      </c>
    </row>
    <row r="136" spans="1:7" x14ac:dyDescent="0.35">
      <c r="A136" s="24">
        <v>45326</v>
      </c>
      <c r="B136" t="s">
        <v>12</v>
      </c>
      <c r="C136" t="s">
        <v>20</v>
      </c>
      <c r="D136" t="s">
        <v>21</v>
      </c>
      <c r="E136">
        <v>22000</v>
      </c>
      <c r="F136">
        <v>4</v>
      </c>
      <c r="G136">
        <v>88000</v>
      </c>
    </row>
    <row r="137" spans="1:7" x14ac:dyDescent="0.35">
      <c r="A137" s="24">
        <v>45329</v>
      </c>
      <c r="B137" t="s">
        <v>19</v>
      </c>
      <c r="C137" t="s">
        <v>20</v>
      </c>
      <c r="D137" t="s">
        <v>9</v>
      </c>
      <c r="E137">
        <v>22000</v>
      </c>
      <c r="F137">
        <v>10</v>
      </c>
      <c r="G137">
        <v>220000</v>
      </c>
    </row>
    <row r="138" spans="1:7" x14ac:dyDescent="0.35">
      <c r="A138" s="24">
        <v>45353</v>
      </c>
      <c r="B138" t="s">
        <v>12</v>
      </c>
      <c r="C138" t="s">
        <v>20</v>
      </c>
      <c r="D138" t="s">
        <v>18</v>
      </c>
      <c r="E138">
        <v>22000</v>
      </c>
      <c r="F138">
        <v>45</v>
      </c>
      <c r="G138">
        <v>990000</v>
      </c>
    </row>
    <row r="139" spans="1:7" x14ac:dyDescent="0.35">
      <c r="A139" s="24">
        <v>45356</v>
      </c>
      <c r="B139" t="s">
        <v>19</v>
      </c>
      <c r="C139" t="s">
        <v>20</v>
      </c>
      <c r="D139" t="s">
        <v>24</v>
      </c>
      <c r="E139">
        <v>89999</v>
      </c>
      <c r="F139">
        <v>15</v>
      </c>
      <c r="G139">
        <v>1349985</v>
      </c>
    </row>
    <row r="140" spans="1:7" x14ac:dyDescent="0.35">
      <c r="A140" s="24">
        <v>45365</v>
      </c>
      <c r="B140" t="s">
        <v>19</v>
      </c>
      <c r="C140" t="s">
        <v>20</v>
      </c>
      <c r="D140" t="s">
        <v>18</v>
      </c>
      <c r="E140">
        <v>33000</v>
      </c>
      <c r="F140">
        <v>16</v>
      </c>
      <c r="G140">
        <v>528000</v>
      </c>
    </row>
    <row r="141" spans="1:7" x14ac:dyDescent="0.35">
      <c r="A141" s="24">
        <v>45368</v>
      </c>
      <c r="B141" t="s">
        <v>10</v>
      </c>
      <c r="C141" t="s">
        <v>20</v>
      </c>
      <c r="D141" t="s">
        <v>11</v>
      </c>
      <c r="E141">
        <v>22000</v>
      </c>
      <c r="F141">
        <v>17</v>
      </c>
      <c r="G141">
        <v>374000</v>
      </c>
    </row>
    <row r="142" spans="1:7" x14ac:dyDescent="0.35">
      <c r="A142" s="24">
        <v>45386</v>
      </c>
      <c r="B142" t="s">
        <v>19</v>
      </c>
      <c r="C142" t="s">
        <v>20</v>
      </c>
      <c r="D142" t="s">
        <v>24</v>
      </c>
      <c r="E142">
        <v>52000</v>
      </c>
      <c r="F142">
        <v>40</v>
      </c>
      <c r="G142">
        <v>2080000</v>
      </c>
    </row>
    <row r="143" spans="1:7" x14ac:dyDescent="0.35">
      <c r="A143" s="24">
        <v>45395</v>
      </c>
      <c r="B143" t="s">
        <v>19</v>
      </c>
      <c r="C143" t="s">
        <v>20</v>
      </c>
      <c r="D143" t="s">
        <v>18</v>
      </c>
      <c r="E143">
        <v>79999</v>
      </c>
      <c r="F143">
        <v>10</v>
      </c>
      <c r="G143">
        <v>799990</v>
      </c>
    </row>
    <row r="144" spans="1:7" x14ac:dyDescent="0.35">
      <c r="A144" s="24">
        <v>45401</v>
      </c>
      <c r="B144" t="s">
        <v>19</v>
      </c>
      <c r="C144" t="s">
        <v>20</v>
      </c>
      <c r="D144" t="s">
        <v>18</v>
      </c>
      <c r="E144">
        <v>89999</v>
      </c>
      <c r="F144">
        <v>29</v>
      </c>
      <c r="G144">
        <v>2609971</v>
      </c>
    </row>
    <row r="145" spans="1:7" x14ac:dyDescent="0.35">
      <c r="A145" s="24">
        <v>45404</v>
      </c>
      <c r="B145" t="s">
        <v>12</v>
      </c>
      <c r="C145" t="s">
        <v>20</v>
      </c>
      <c r="D145" t="s">
        <v>9</v>
      </c>
      <c r="E145">
        <v>799</v>
      </c>
      <c r="F145">
        <v>44</v>
      </c>
      <c r="G145">
        <v>35156</v>
      </c>
    </row>
    <row r="146" spans="1:7" x14ac:dyDescent="0.35">
      <c r="A146" s="24">
        <v>45407</v>
      </c>
      <c r="B146" t="s">
        <v>19</v>
      </c>
      <c r="C146" t="s">
        <v>20</v>
      </c>
      <c r="D146" t="s">
        <v>11</v>
      </c>
      <c r="E146">
        <v>3990</v>
      </c>
      <c r="F146">
        <v>31</v>
      </c>
      <c r="G146">
        <v>123690</v>
      </c>
    </row>
    <row r="147" spans="1:7" x14ac:dyDescent="0.35">
      <c r="A147" s="24">
        <v>45410</v>
      </c>
      <c r="B147" t="s">
        <v>10</v>
      </c>
      <c r="C147" t="s">
        <v>20</v>
      </c>
      <c r="D147" t="s">
        <v>14</v>
      </c>
      <c r="E147">
        <v>52000</v>
      </c>
      <c r="F147">
        <v>29</v>
      </c>
      <c r="G147">
        <v>1508000</v>
      </c>
    </row>
    <row r="148" spans="1:7" x14ac:dyDescent="0.35">
      <c r="A148" s="24">
        <v>45470</v>
      </c>
      <c r="B148" t="s">
        <v>19</v>
      </c>
      <c r="C148" t="s">
        <v>20</v>
      </c>
      <c r="D148" t="s">
        <v>21</v>
      </c>
      <c r="E148">
        <v>52000</v>
      </c>
      <c r="F148">
        <v>41</v>
      </c>
      <c r="G148">
        <v>2132000</v>
      </c>
    </row>
    <row r="149" spans="1:7" x14ac:dyDescent="0.35">
      <c r="A149" s="24">
        <v>45485</v>
      </c>
      <c r="B149" t="s">
        <v>19</v>
      </c>
      <c r="C149" t="s">
        <v>20</v>
      </c>
      <c r="D149" t="s">
        <v>9</v>
      </c>
      <c r="E149">
        <v>11999</v>
      </c>
      <c r="F149">
        <v>37</v>
      </c>
      <c r="G149">
        <v>443963</v>
      </c>
    </row>
    <row r="150" spans="1:7" x14ac:dyDescent="0.35">
      <c r="A150" s="24">
        <v>45500</v>
      </c>
      <c r="B150" t="s">
        <v>12</v>
      </c>
      <c r="C150" t="s">
        <v>20</v>
      </c>
      <c r="D150" t="s">
        <v>11</v>
      </c>
      <c r="E150">
        <v>79999</v>
      </c>
      <c r="F150">
        <v>4</v>
      </c>
      <c r="G150">
        <v>319996</v>
      </c>
    </row>
    <row r="151" spans="1:7" x14ac:dyDescent="0.35">
      <c r="A151" s="24">
        <v>45506</v>
      </c>
      <c r="B151" t="s">
        <v>19</v>
      </c>
      <c r="C151" t="s">
        <v>20</v>
      </c>
      <c r="D151" t="s">
        <v>9</v>
      </c>
      <c r="E151">
        <v>52000</v>
      </c>
      <c r="F151">
        <v>15</v>
      </c>
      <c r="G151">
        <v>780000</v>
      </c>
    </row>
    <row r="152" spans="1:7" x14ac:dyDescent="0.35">
      <c r="A152" s="24">
        <v>45509</v>
      </c>
      <c r="B152" t="s">
        <v>19</v>
      </c>
      <c r="C152" t="s">
        <v>20</v>
      </c>
      <c r="D152" t="s">
        <v>18</v>
      </c>
      <c r="E152">
        <v>52000</v>
      </c>
      <c r="F152">
        <v>39</v>
      </c>
      <c r="G152">
        <v>2028000</v>
      </c>
    </row>
    <row r="153" spans="1:7" x14ac:dyDescent="0.35">
      <c r="A153" s="24">
        <v>45530</v>
      </c>
      <c r="B153" t="s">
        <v>10</v>
      </c>
      <c r="C153" t="s">
        <v>20</v>
      </c>
      <c r="D153" t="s">
        <v>9</v>
      </c>
      <c r="E153">
        <v>89999</v>
      </c>
      <c r="F153">
        <v>15</v>
      </c>
      <c r="G153">
        <v>1349985</v>
      </c>
    </row>
    <row r="154" spans="1:7" x14ac:dyDescent="0.35">
      <c r="A154" s="24">
        <v>45539</v>
      </c>
      <c r="B154" t="s">
        <v>19</v>
      </c>
      <c r="C154" t="s">
        <v>20</v>
      </c>
      <c r="D154" t="s">
        <v>21</v>
      </c>
      <c r="E154">
        <v>700</v>
      </c>
      <c r="F154">
        <v>50</v>
      </c>
      <c r="G154">
        <v>35000</v>
      </c>
    </row>
    <row r="155" spans="1:7" x14ac:dyDescent="0.35">
      <c r="A155" s="24">
        <v>45557</v>
      </c>
      <c r="B155" t="s">
        <v>12</v>
      </c>
      <c r="C155" t="s">
        <v>20</v>
      </c>
      <c r="D155" t="s">
        <v>14</v>
      </c>
      <c r="E155">
        <v>700</v>
      </c>
      <c r="F155">
        <v>38</v>
      </c>
      <c r="G155">
        <v>26600</v>
      </c>
    </row>
    <row r="156" spans="1:7" x14ac:dyDescent="0.35">
      <c r="A156" s="24">
        <v>45584</v>
      </c>
      <c r="B156" t="s">
        <v>19</v>
      </c>
      <c r="C156" t="s">
        <v>20</v>
      </c>
      <c r="D156" t="s">
        <v>18</v>
      </c>
      <c r="E156">
        <v>22000</v>
      </c>
      <c r="F156">
        <v>45</v>
      </c>
      <c r="G156">
        <v>990000</v>
      </c>
    </row>
    <row r="157" spans="1:7" x14ac:dyDescent="0.35">
      <c r="A157" s="24">
        <v>45587</v>
      </c>
      <c r="B157" t="s">
        <v>19</v>
      </c>
      <c r="C157" t="s">
        <v>20</v>
      </c>
      <c r="D157" t="s">
        <v>24</v>
      </c>
      <c r="E157">
        <v>89999</v>
      </c>
      <c r="F157">
        <v>15</v>
      </c>
      <c r="G157">
        <v>1349985</v>
      </c>
    </row>
    <row r="158" spans="1:7" x14ac:dyDescent="0.35">
      <c r="A158" s="24">
        <v>45596</v>
      </c>
      <c r="B158" t="s">
        <v>10</v>
      </c>
      <c r="C158" t="s">
        <v>20</v>
      </c>
      <c r="D158" t="s">
        <v>18</v>
      </c>
      <c r="E158">
        <v>33000</v>
      </c>
      <c r="F158">
        <v>16</v>
      </c>
      <c r="G158">
        <v>528000</v>
      </c>
    </row>
    <row r="159" spans="1:7" x14ac:dyDescent="0.35">
      <c r="A159" s="24">
        <v>45605</v>
      </c>
      <c r="B159" t="s">
        <v>12</v>
      </c>
      <c r="C159" t="s">
        <v>20</v>
      </c>
      <c r="D159" t="s">
        <v>14</v>
      </c>
      <c r="E159">
        <v>499</v>
      </c>
      <c r="F159">
        <v>4</v>
      </c>
      <c r="G159">
        <v>1996</v>
      </c>
    </row>
    <row r="160" spans="1:7" x14ac:dyDescent="0.35">
      <c r="A160" s="24">
        <v>45617</v>
      </c>
      <c r="B160" t="s">
        <v>12</v>
      </c>
      <c r="C160" t="s">
        <v>20</v>
      </c>
      <c r="D160" t="s">
        <v>24</v>
      </c>
      <c r="E160">
        <v>52000</v>
      </c>
      <c r="F160">
        <v>40</v>
      </c>
      <c r="G160">
        <v>2080000</v>
      </c>
    </row>
    <row r="161" spans="1:7" x14ac:dyDescent="0.35">
      <c r="A161" s="24">
        <v>45626</v>
      </c>
      <c r="B161" t="s">
        <v>19</v>
      </c>
      <c r="C161" t="s">
        <v>20</v>
      </c>
      <c r="D161" t="s">
        <v>18</v>
      </c>
      <c r="E161">
        <v>79999</v>
      </c>
      <c r="F161">
        <v>10</v>
      </c>
      <c r="G161">
        <v>799990</v>
      </c>
    </row>
    <row r="162" spans="1:7" x14ac:dyDescent="0.35">
      <c r="A162" s="24">
        <v>45632</v>
      </c>
      <c r="B162" t="s">
        <v>12</v>
      </c>
      <c r="C162" t="s">
        <v>20</v>
      </c>
      <c r="D162" t="s">
        <v>18</v>
      </c>
      <c r="E162">
        <v>89999</v>
      </c>
      <c r="F162">
        <v>29</v>
      </c>
      <c r="G162">
        <v>2609971</v>
      </c>
    </row>
    <row r="163" spans="1:7" x14ac:dyDescent="0.35">
      <c r="A163" s="24">
        <v>45635</v>
      </c>
      <c r="B163" t="s">
        <v>19</v>
      </c>
      <c r="C163" t="s">
        <v>20</v>
      </c>
      <c r="D163" t="s">
        <v>9</v>
      </c>
      <c r="E163">
        <v>799</v>
      </c>
      <c r="F163">
        <v>44</v>
      </c>
      <c r="G163">
        <v>35156</v>
      </c>
    </row>
    <row r="164" spans="1:7" x14ac:dyDescent="0.35">
      <c r="A164" s="24">
        <v>45638</v>
      </c>
      <c r="B164" t="s">
        <v>19</v>
      </c>
      <c r="C164" t="s">
        <v>20</v>
      </c>
      <c r="D164" t="s">
        <v>24</v>
      </c>
      <c r="E164">
        <v>3990</v>
      </c>
      <c r="F164">
        <v>31</v>
      </c>
      <c r="G164">
        <v>123690</v>
      </c>
    </row>
    <row r="165" spans="1:7" x14ac:dyDescent="0.35">
      <c r="A165" s="24">
        <v>45716</v>
      </c>
      <c r="B165" t="s">
        <v>12</v>
      </c>
      <c r="C165" t="s">
        <v>20</v>
      </c>
      <c r="D165" t="s">
        <v>9</v>
      </c>
      <c r="E165">
        <v>11999</v>
      </c>
      <c r="F165">
        <v>37</v>
      </c>
      <c r="G165">
        <v>443963</v>
      </c>
    </row>
    <row r="166" spans="1:7" x14ac:dyDescent="0.35">
      <c r="A166" s="24">
        <v>45731</v>
      </c>
      <c r="B166" t="s">
        <v>19</v>
      </c>
      <c r="C166" t="s">
        <v>20</v>
      </c>
      <c r="D166" t="s">
        <v>11</v>
      </c>
      <c r="E166">
        <v>79999</v>
      </c>
      <c r="F166">
        <v>4</v>
      </c>
      <c r="G166">
        <v>319996</v>
      </c>
    </row>
    <row r="167" spans="1:7" x14ac:dyDescent="0.35">
      <c r="A167" s="24">
        <v>45737</v>
      </c>
      <c r="B167" t="s">
        <v>19</v>
      </c>
      <c r="C167" t="s">
        <v>20</v>
      </c>
      <c r="D167" t="s">
        <v>9</v>
      </c>
      <c r="E167">
        <v>52000</v>
      </c>
      <c r="F167">
        <v>15</v>
      </c>
      <c r="G167">
        <v>780000</v>
      </c>
    </row>
    <row r="168" spans="1:7" x14ac:dyDescent="0.35">
      <c r="A168" s="24">
        <v>45740</v>
      </c>
      <c r="B168" t="s">
        <v>10</v>
      </c>
      <c r="C168" t="s">
        <v>20</v>
      </c>
      <c r="D168" t="s">
        <v>18</v>
      </c>
      <c r="E168">
        <v>52000</v>
      </c>
      <c r="F168">
        <v>39</v>
      </c>
      <c r="G168">
        <v>2028000</v>
      </c>
    </row>
    <row r="169" spans="1:7" x14ac:dyDescent="0.35">
      <c r="A169" s="24">
        <v>45758</v>
      </c>
      <c r="B169" t="s">
        <v>12</v>
      </c>
      <c r="C169" t="s">
        <v>20</v>
      </c>
      <c r="D169" t="s">
        <v>24</v>
      </c>
      <c r="E169">
        <v>65400</v>
      </c>
      <c r="F169">
        <v>19</v>
      </c>
      <c r="G169">
        <v>1242600</v>
      </c>
    </row>
    <row r="170" spans="1:7" x14ac:dyDescent="0.35">
      <c r="A170" s="24">
        <v>45818</v>
      </c>
      <c r="B170" t="s">
        <v>12</v>
      </c>
      <c r="C170" t="s">
        <v>20</v>
      </c>
      <c r="D170" t="s">
        <v>9</v>
      </c>
      <c r="E170">
        <v>11999</v>
      </c>
      <c r="F170">
        <v>37</v>
      </c>
      <c r="G170">
        <v>443963</v>
      </c>
    </row>
    <row r="171" spans="1:7" x14ac:dyDescent="0.35">
      <c r="A171" s="24">
        <v>45833</v>
      </c>
      <c r="B171" t="s">
        <v>19</v>
      </c>
      <c r="C171" t="s">
        <v>20</v>
      </c>
      <c r="D171" t="s">
        <v>11</v>
      </c>
      <c r="E171">
        <v>79999</v>
      </c>
      <c r="F171">
        <v>4</v>
      </c>
      <c r="G171">
        <v>319996</v>
      </c>
    </row>
    <row r="172" spans="1:7" x14ac:dyDescent="0.35">
      <c r="A172" s="24">
        <v>45839</v>
      </c>
      <c r="B172" t="s">
        <v>19</v>
      </c>
      <c r="C172" t="s">
        <v>20</v>
      </c>
      <c r="D172" t="s">
        <v>9</v>
      </c>
      <c r="E172">
        <v>52000</v>
      </c>
      <c r="F172">
        <v>15</v>
      </c>
      <c r="G172">
        <v>780000</v>
      </c>
    </row>
    <row r="173" spans="1:7" x14ac:dyDescent="0.35">
      <c r="A173" s="24">
        <v>45842</v>
      </c>
      <c r="B173" t="s">
        <v>10</v>
      </c>
      <c r="C173" t="s">
        <v>20</v>
      </c>
      <c r="D173" t="s">
        <v>18</v>
      </c>
      <c r="E173">
        <v>52000</v>
      </c>
      <c r="F173">
        <v>39</v>
      </c>
      <c r="G173">
        <v>2028000</v>
      </c>
    </row>
    <row r="174" spans="1:7" x14ac:dyDescent="0.35">
      <c r="A174" s="24">
        <v>45860</v>
      </c>
      <c r="B174" t="s">
        <v>12</v>
      </c>
      <c r="C174" t="s">
        <v>20</v>
      </c>
      <c r="D174" t="s">
        <v>24</v>
      </c>
      <c r="E174">
        <v>65400</v>
      </c>
      <c r="F174">
        <v>19</v>
      </c>
      <c r="G174">
        <v>1242600</v>
      </c>
    </row>
    <row r="175" spans="1:7" x14ac:dyDescent="0.35">
      <c r="A175" s="24">
        <v>44933</v>
      </c>
      <c r="B175" t="s">
        <v>12</v>
      </c>
      <c r="C175" t="s">
        <v>13</v>
      </c>
      <c r="D175" t="s">
        <v>14</v>
      </c>
      <c r="E175">
        <v>1450</v>
      </c>
      <c r="F175">
        <v>44</v>
      </c>
      <c r="G175">
        <v>63800</v>
      </c>
    </row>
    <row r="176" spans="1:7" x14ac:dyDescent="0.35">
      <c r="A176" s="24">
        <v>44987</v>
      </c>
      <c r="B176" t="s">
        <v>12</v>
      </c>
      <c r="C176" t="s">
        <v>13</v>
      </c>
      <c r="D176" t="s">
        <v>11</v>
      </c>
      <c r="E176">
        <v>1250</v>
      </c>
      <c r="F176">
        <v>6</v>
      </c>
      <c r="G176">
        <v>7500</v>
      </c>
    </row>
    <row r="177" spans="1:7" x14ac:dyDescent="0.35">
      <c r="A177" s="24">
        <v>44993</v>
      </c>
      <c r="B177" t="s">
        <v>19</v>
      </c>
      <c r="C177" t="s">
        <v>13</v>
      </c>
      <c r="D177" t="s">
        <v>21</v>
      </c>
      <c r="E177">
        <v>1450</v>
      </c>
      <c r="F177">
        <v>13</v>
      </c>
      <c r="G177">
        <v>18850</v>
      </c>
    </row>
    <row r="178" spans="1:7" x14ac:dyDescent="0.35">
      <c r="A178" s="24">
        <v>44996</v>
      </c>
      <c r="B178" t="s">
        <v>19</v>
      </c>
      <c r="C178" t="s">
        <v>13</v>
      </c>
      <c r="D178" t="s">
        <v>14</v>
      </c>
      <c r="E178">
        <v>23999</v>
      </c>
      <c r="F178">
        <v>8</v>
      </c>
      <c r="G178">
        <v>191992</v>
      </c>
    </row>
    <row r="179" spans="1:7" x14ac:dyDescent="0.35">
      <c r="A179" s="24">
        <v>45071</v>
      </c>
      <c r="B179" t="s">
        <v>12</v>
      </c>
      <c r="C179" t="s">
        <v>13</v>
      </c>
      <c r="D179" t="s">
        <v>18</v>
      </c>
      <c r="E179">
        <v>7999</v>
      </c>
      <c r="F179">
        <v>14</v>
      </c>
      <c r="G179">
        <v>111986</v>
      </c>
    </row>
    <row r="180" spans="1:7" x14ac:dyDescent="0.35">
      <c r="A180" s="24">
        <v>45074</v>
      </c>
      <c r="B180" t="s">
        <v>10</v>
      </c>
      <c r="C180" t="s">
        <v>13</v>
      </c>
      <c r="D180" t="s">
        <v>21</v>
      </c>
      <c r="E180">
        <v>550</v>
      </c>
      <c r="F180">
        <v>9</v>
      </c>
      <c r="G180">
        <v>4950</v>
      </c>
    </row>
    <row r="181" spans="1:7" x14ac:dyDescent="0.35">
      <c r="A181" s="24">
        <v>45101</v>
      </c>
      <c r="B181" t="s">
        <v>19</v>
      </c>
      <c r="C181" t="s">
        <v>13</v>
      </c>
      <c r="D181" t="s">
        <v>11</v>
      </c>
      <c r="E181">
        <v>23999</v>
      </c>
      <c r="F181">
        <v>25</v>
      </c>
      <c r="G181">
        <v>599975</v>
      </c>
    </row>
    <row r="182" spans="1:7" x14ac:dyDescent="0.35">
      <c r="A182" s="24">
        <v>45158</v>
      </c>
      <c r="B182" t="s">
        <v>19</v>
      </c>
      <c r="C182" t="s">
        <v>13</v>
      </c>
      <c r="D182" t="s">
        <v>21</v>
      </c>
      <c r="E182">
        <v>7999</v>
      </c>
      <c r="F182">
        <v>31</v>
      </c>
      <c r="G182">
        <v>247969</v>
      </c>
    </row>
    <row r="183" spans="1:7" x14ac:dyDescent="0.35">
      <c r="A183" s="24">
        <v>45170</v>
      </c>
      <c r="B183" t="s">
        <v>19</v>
      </c>
      <c r="C183" t="s">
        <v>13</v>
      </c>
      <c r="D183" t="s">
        <v>9</v>
      </c>
      <c r="E183">
        <v>960</v>
      </c>
      <c r="F183">
        <v>7</v>
      </c>
      <c r="G183">
        <v>6720</v>
      </c>
    </row>
    <row r="184" spans="1:7" x14ac:dyDescent="0.35">
      <c r="A184" s="24">
        <v>45194</v>
      </c>
      <c r="B184" t="s">
        <v>19</v>
      </c>
      <c r="C184" t="s">
        <v>13</v>
      </c>
      <c r="D184" t="s">
        <v>14</v>
      </c>
      <c r="E184">
        <v>960</v>
      </c>
      <c r="F184">
        <v>33</v>
      </c>
      <c r="G184">
        <v>31680</v>
      </c>
    </row>
    <row r="185" spans="1:7" x14ac:dyDescent="0.35">
      <c r="A185" s="24">
        <v>45203</v>
      </c>
      <c r="B185" t="s">
        <v>10</v>
      </c>
      <c r="C185" t="s">
        <v>13</v>
      </c>
      <c r="D185" t="s">
        <v>21</v>
      </c>
      <c r="E185">
        <v>1250</v>
      </c>
      <c r="F185">
        <v>14</v>
      </c>
      <c r="G185">
        <v>17500</v>
      </c>
    </row>
    <row r="186" spans="1:7" x14ac:dyDescent="0.35">
      <c r="A186" s="24">
        <v>45242</v>
      </c>
      <c r="B186" t="s">
        <v>19</v>
      </c>
      <c r="C186" t="s">
        <v>13</v>
      </c>
      <c r="D186" t="s">
        <v>9</v>
      </c>
      <c r="E186">
        <v>550</v>
      </c>
      <c r="F186">
        <v>25</v>
      </c>
      <c r="G186">
        <v>13750</v>
      </c>
    </row>
    <row r="187" spans="1:7" x14ac:dyDescent="0.35">
      <c r="A187" s="24">
        <v>45251</v>
      </c>
      <c r="B187" t="s">
        <v>12</v>
      </c>
      <c r="C187" t="s">
        <v>13</v>
      </c>
      <c r="D187" t="s">
        <v>14</v>
      </c>
      <c r="E187">
        <v>1450</v>
      </c>
      <c r="F187">
        <v>44</v>
      </c>
      <c r="G187">
        <v>63800</v>
      </c>
    </row>
    <row r="188" spans="1:7" x14ac:dyDescent="0.35">
      <c r="A188" s="24">
        <v>45305</v>
      </c>
      <c r="B188" t="s">
        <v>19</v>
      </c>
      <c r="C188" t="s">
        <v>13</v>
      </c>
      <c r="D188" t="s">
        <v>11</v>
      </c>
      <c r="E188">
        <v>1250</v>
      </c>
      <c r="F188">
        <v>6</v>
      </c>
      <c r="G188">
        <v>7500</v>
      </c>
    </row>
    <row r="189" spans="1:7" x14ac:dyDescent="0.35">
      <c r="A189" s="24">
        <v>45311</v>
      </c>
      <c r="B189" t="s">
        <v>19</v>
      </c>
      <c r="C189" t="s">
        <v>13</v>
      </c>
      <c r="D189" t="s">
        <v>21</v>
      </c>
      <c r="E189">
        <v>1450</v>
      </c>
      <c r="F189">
        <v>13</v>
      </c>
      <c r="G189">
        <v>18850</v>
      </c>
    </row>
    <row r="190" spans="1:7" x14ac:dyDescent="0.35">
      <c r="A190" s="24">
        <v>45314</v>
      </c>
      <c r="B190" t="s">
        <v>19</v>
      </c>
      <c r="C190" t="s">
        <v>13</v>
      </c>
      <c r="D190" t="s">
        <v>21</v>
      </c>
      <c r="E190">
        <v>23999</v>
      </c>
      <c r="F190">
        <v>8</v>
      </c>
      <c r="G190">
        <v>191992</v>
      </c>
    </row>
    <row r="191" spans="1:7" x14ac:dyDescent="0.35">
      <c r="A191" s="24">
        <v>45389</v>
      </c>
      <c r="B191" t="s">
        <v>19</v>
      </c>
      <c r="C191" t="s">
        <v>13</v>
      </c>
      <c r="D191" t="s">
        <v>18</v>
      </c>
      <c r="E191">
        <v>7999</v>
      </c>
      <c r="F191">
        <v>14</v>
      </c>
      <c r="G191">
        <v>111986</v>
      </c>
    </row>
    <row r="192" spans="1:7" x14ac:dyDescent="0.35">
      <c r="A192" s="24">
        <v>45392</v>
      </c>
      <c r="B192" t="s">
        <v>10</v>
      </c>
      <c r="C192" t="s">
        <v>13</v>
      </c>
      <c r="D192" t="s">
        <v>21</v>
      </c>
      <c r="E192">
        <v>5000</v>
      </c>
      <c r="F192">
        <v>9</v>
      </c>
      <c r="G192">
        <v>45000</v>
      </c>
    </row>
    <row r="193" spans="1:7" x14ac:dyDescent="0.35">
      <c r="A193" s="24">
        <v>45419</v>
      </c>
      <c r="B193" t="s">
        <v>19</v>
      </c>
      <c r="C193" t="s">
        <v>13</v>
      </c>
      <c r="D193" t="s">
        <v>24</v>
      </c>
      <c r="E193">
        <v>23999</v>
      </c>
      <c r="F193">
        <v>25</v>
      </c>
      <c r="G193">
        <v>599975</v>
      </c>
    </row>
    <row r="194" spans="1:7" x14ac:dyDescent="0.35">
      <c r="A194" s="24">
        <v>45422</v>
      </c>
      <c r="B194" t="s">
        <v>19</v>
      </c>
      <c r="C194" t="s">
        <v>13</v>
      </c>
      <c r="D194" t="s">
        <v>18</v>
      </c>
      <c r="E194">
        <v>1250</v>
      </c>
      <c r="F194">
        <v>31</v>
      </c>
      <c r="G194">
        <v>38750</v>
      </c>
    </row>
    <row r="195" spans="1:7" x14ac:dyDescent="0.35">
      <c r="A195" s="24">
        <v>45449</v>
      </c>
      <c r="B195" t="s">
        <v>19</v>
      </c>
      <c r="C195" t="s">
        <v>13</v>
      </c>
      <c r="D195" t="s">
        <v>21</v>
      </c>
      <c r="E195">
        <v>960</v>
      </c>
      <c r="F195">
        <v>16</v>
      </c>
      <c r="G195">
        <v>15360</v>
      </c>
    </row>
    <row r="196" spans="1:7" x14ac:dyDescent="0.35">
      <c r="A196" s="24">
        <v>45488</v>
      </c>
      <c r="B196" t="s">
        <v>19</v>
      </c>
      <c r="C196" t="s">
        <v>13</v>
      </c>
      <c r="D196" t="s">
        <v>9</v>
      </c>
      <c r="E196">
        <v>960</v>
      </c>
      <c r="F196">
        <v>7</v>
      </c>
      <c r="G196">
        <v>6720</v>
      </c>
    </row>
    <row r="197" spans="1:7" x14ac:dyDescent="0.35">
      <c r="A197" s="24">
        <v>45512</v>
      </c>
      <c r="B197" t="s">
        <v>19</v>
      </c>
      <c r="C197" t="s">
        <v>13</v>
      </c>
      <c r="D197" t="s">
        <v>14</v>
      </c>
      <c r="E197">
        <v>960</v>
      </c>
      <c r="F197">
        <v>33</v>
      </c>
      <c r="G197">
        <v>31680</v>
      </c>
    </row>
    <row r="198" spans="1:7" x14ac:dyDescent="0.35">
      <c r="A198" s="24">
        <v>45515</v>
      </c>
      <c r="B198" t="s">
        <v>19</v>
      </c>
      <c r="C198" t="s">
        <v>13</v>
      </c>
      <c r="D198" t="s">
        <v>14</v>
      </c>
      <c r="E198">
        <v>1450</v>
      </c>
      <c r="F198">
        <v>34</v>
      </c>
      <c r="G198">
        <v>49300</v>
      </c>
    </row>
    <row r="199" spans="1:7" x14ac:dyDescent="0.35">
      <c r="A199" s="24">
        <v>45521</v>
      </c>
      <c r="B199" t="s">
        <v>12</v>
      </c>
      <c r="C199" t="s">
        <v>13</v>
      </c>
      <c r="D199" t="s">
        <v>21</v>
      </c>
      <c r="E199">
        <v>1250</v>
      </c>
      <c r="F199">
        <v>14</v>
      </c>
      <c r="G199">
        <v>17500</v>
      </c>
    </row>
    <row r="200" spans="1:7" x14ac:dyDescent="0.35">
      <c r="A200" s="24">
        <v>45560</v>
      </c>
      <c r="B200" t="s">
        <v>19</v>
      </c>
      <c r="C200" t="s">
        <v>13</v>
      </c>
      <c r="D200" t="s">
        <v>9</v>
      </c>
      <c r="E200">
        <v>550</v>
      </c>
      <c r="F200">
        <v>25</v>
      </c>
      <c r="G200">
        <v>13750</v>
      </c>
    </row>
    <row r="201" spans="1:7" x14ac:dyDescent="0.35">
      <c r="A201" s="24">
        <v>45623</v>
      </c>
      <c r="B201" t="s">
        <v>12</v>
      </c>
      <c r="C201" t="s">
        <v>13</v>
      </c>
      <c r="D201" t="s">
        <v>21</v>
      </c>
      <c r="E201">
        <v>550</v>
      </c>
      <c r="F201">
        <v>9</v>
      </c>
      <c r="G201">
        <v>4950</v>
      </c>
    </row>
    <row r="202" spans="1:7" x14ac:dyDescent="0.35">
      <c r="A202" s="24">
        <v>45650</v>
      </c>
      <c r="B202" t="s">
        <v>19</v>
      </c>
      <c r="C202" t="s">
        <v>13</v>
      </c>
      <c r="D202" t="s">
        <v>9</v>
      </c>
      <c r="E202">
        <v>23999</v>
      </c>
      <c r="F202">
        <v>25</v>
      </c>
      <c r="G202">
        <v>599975</v>
      </c>
    </row>
    <row r="203" spans="1:7" x14ac:dyDescent="0.35">
      <c r="A203" s="24">
        <v>45653</v>
      </c>
      <c r="B203" t="s">
        <v>12</v>
      </c>
      <c r="C203" t="s">
        <v>13</v>
      </c>
      <c r="D203" t="s">
        <v>18</v>
      </c>
      <c r="E203">
        <v>1250</v>
      </c>
      <c r="F203">
        <v>31</v>
      </c>
      <c r="G203">
        <v>38750</v>
      </c>
    </row>
    <row r="204" spans="1:7" x14ac:dyDescent="0.35">
      <c r="A204" s="24">
        <v>45680</v>
      </c>
      <c r="B204" t="s">
        <v>10</v>
      </c>
      <c r="C204" t="s">
        <v>13</v>
      </c>
      <c r="D204" t="s">
        <v>21</v>
      </c>
      <c r="E204">
        <v>960</v>
      </c>
      <c r="F204">
        <v>16</v>
      </c>
      <c r="G204">
        <v>15360</v>
      </c>
    </row>
    <row r="205" spans="1:7" x14ac:dyDescent="0.35">
      <c r="A205" s="24">
        <v>45707</v>
      </c>
      <c r="B205" t="s">
        <v>19</v>
      </c>
      <c r="C205" t="s">
        <v>13</v>
      </c>
      <c r="D205" t="s">
        <v>21</v>
      </c>
      <c r="E205">
        <v>7999</v>
      </c>
      <c r="F205">
        <v>31</v>
      </c>
      <c r="G205">
        <v>247969</v>
      </c>
    </row>
    <row r="206" spans="1:7" x14ac:dyDescent="0.35">
      <c r="A206" s="24">
        <v>45719</v>
      </c>
      <c r="B206" t="s">
        <v>10</v>
      </c>
      <c r="C206" t="s">
        <v>13</v>
      </c>
      <c r="D206" t="s">
        <v>9</v>
      </c>
      <c r="E206">
        <v>960</v>
      </c>
      <c r="F206">
        <v>7</v>
      </c>
      <c r="G206">
        <v>6720</v>
      </c>
    </row>
    <row r="207" spans="1:7" x14ac:dyDescent="0.35">
      <c r="A207" s="24">
        <v>45743</v>
      </c>
      <c r="B207" t="s">
        <v>12</v>
      </c>
      <c r="C207" t="s">
        <v>13</v>
      </c>
      <c r="D207" t="s">
        <v>18</v>
      </c>
      <c r="E207">
        <v>960</v>
      </c>
      <c r="F207">
        <v>33</v>
      </c>
      <c r="G207">
        <v>31680</v>
      </c>
    </row>
    <row r="208" spans="1:7" x14ac:dyDescent="0.35">
      <c r="A208" s="24">
        <v>45746</v>
      </c>
      <c r="B208" t="s">
        <v>19</v>
      </c>
      <c r="C208" t="s">
        <v>13</v>
      </c>
      <c r="D208" t="s">
        <v>14</v>
      </c>
      <c r="E208">
        <v>1450</v>
      </c>
      <c r="F208">
        <v>34</v>
      </c>
      <c r="G208">
        <v>49300</v>
      </c>
    </row>
    <row r="209" spans="1:7" x14ac:dyDescent="0.35">
      <c r="A209" s="24">
        <v>45782</v>
      </c>
      <c r="B209" t="s">
        <v>10</v>
      </c>
      <c r="C209" t="s">
        <v>13</v>
      </c>
      <c r="D209" t="s">
        <v>21</v>
      </c>
      <c r="E209">
        <v>960</v>
      </c>
      <c r="F209">
        <v>16</v>
      </c>
      <c r="G209">
        <v>15360</v>
      </c>
    </row>
    <row r="210" spans="1:7" x14ac:dyDescent="0.35">
      <c r="A210" s="24">
        <v>45809</v>
      </c>
      <c r="B210" t="s">
        <v>19</v>
      </c>
      <c r="C210" t="s">
        <v>13</v>
      </c>
      <c r="D210" t="s">
        <v>21</v>
      </c>
      <c r="E210">
        <v>7999</v>
      </c>
      <c r="F210">
        <v>31</v>
      </c>
      <c r="G210">
        <v>247969</v>
      </c>
    </row>
    <row r="211" spans="1:7" x14ac:dyDescent="0.35">
      <c r="A211" s="24">
        <v>45821</v>
      </c>
      <c r="B211" t="s">
        <v>10</v>
      </c>
      <c r="C211" t="s">
        <v>13</v>
      </c>
      <c r="D211" t="s">
        <v>9</v>
      </c>
      <c r="E211">
        <v>960</v>
      </c>
      <c r="F211">
        <v>7</v>
      </c>
      <c r="G211">
        <v>6720</v>
      </c>
    </row>
    <row r="212" spans="1:7" x14ac:dyDescent="0.35">
      <c r="A212" s="24">
        <v>45845</v>
      </c>
      <c r="B212" t="s">
        <v>12</v>
      </c>
      <c r="C212" t="s">
        <v>13</v>
      </c>
      <c r="D212" t="s">
        <v>18</v>
      </c>
      <c r="E212">
        <v>960</v>
      </c>
      <c r="F212">
        <v>33</v>
      </c>
      <c r="G212">
        <v>31680</v>
      </c>
    </row>
    <row r="213" spans="1:7" x14ac:dyDescent="0.35">
      <c r="A213" s="24">
        <v>45848</v>
      </c>
      <c r="B213" t="s">
        <v>19</v>
      </c>
      <c r="C213" t="s">
        <v>13</v>
      </c>
      <c r="D213" t="s">
        <v>14</v>
      </c>
      <c r="E213">
        <v>1450</v>
      </c>
      <c r="F213">
        <v>34</v>
      </c>
      <c r="G213">
        <v>49300</v>
      </c>
    </row>
    <row r="214" spans="1:7" x14ac:dyDescent="0.35">
      <c r="A214" s="24">
        <v>44939</v>
      </c>
      <c r="B214" t="s">
        <v>15</v>
      </c>
      <c r="C214" t="s">
        <v>17</v>
      </c>
      <c r="D214" t="s">
        <v>18</v>
      </c>
      <c r="E214">
        <v>15000</v>
      </c>
      <c r="F214">
        <v>11</v>
      </c>
      <c r="G214">
        <v>165000</v>
      </c>
    </row>
    <row r="215" spans="1:7" x14ac:dyDescent="0.35">
      <c r="A215" s="24">
        <v>44969</v>
      </c>
      <c r="B215" t="s">
        <v>15</v>
      </c>
      <c r="C215" t="s">
        <v>17</v>
      </c>
      <c r="D215" t="s">
        <v>14</v>
      </c>
      <c r="E215">
        <v>120</v>
      </c>
      <c r="F215">
        <v>10</v>
      </c>
      <c r="G215">
        <v>1200</v>
      </c>
    </row>
    <row r="216" spans="1:7" x14ac:dyDescent="0.35">
      <c r="A216" s="24">
        <v>44981</v>
      </c>
      <c r="B216" t="s">
        <v>15</v>
      </c>
      <c r="C216" t="s">
        <v>17</v>
      </c>
      <c r="D216" t="s">
        <v>11</v>
      </c>
      <c r="E216">
        <v>8900</v>
      </c>
      <c r="F216">
        <v>9</v>
      </c>
      <c r="G216">
        <v>80100</v>
      </c>
    </row>
    <row r="217" spans="1:7" x14ac:dyDescent="0.35">
      <c r="A217" s="24">
        <v>44990</v>
      </c>
      <c r="B217" t="s">
        <v>15</v>
      </c>
      <c r="C217" t="s">
        <v>17</v>
      </c>
      <c r="D217" t="s">
        <v>18</v>
      </c>
      <c r="E217">
        <v>999</v>
      </c>
      <c r="F217">
        <v>28</v>
      </c>
      <c r="G217">
        <v>27972</v>
      </c>
    </row>
    <row r="218" spans="1:7" x14ac:dyDescent="0.35">
      <c r="A218" s="24">
        <v>45017</v>
      </c>
      <c r="B218" t="s">
        <v>10</v>
      </c>
      <c r="C218" t="s">
        <v>17</v>
      </c>
      <c r="D218" t="s">
        <v>21</v>
      </c>
      <c r="E218">
        <v>120</v>
      </c>
      <c r="F218">
        <v>22</v>
      </c>
      <c r="G218">
        <v>2640</v>
      </c>
    </row>
    <row r="219" spans="1:7" x14ac:dyDescent="0.35">
      <c r="A219" s="24">
        <v>45029</v>
      </c>
      <c r="B219" t="s">
        <v>12</v>
      </c>
      <c r="C219" t="s">
        <v>17</v>
      </c>
      <c r="D219" t="s">
        <v>18</v>
      </c>
      <c r="E219">
        <v>18000</v>
      </c>
      <c r="F219">
        <v>41</v>
      </c>
      <c r="G219">
        <v>738000</v>
      </c>
    </row>
    <row r="220" spans="1:7" x14ac:dyDescent="0.35">
      <c r="A220" s="24">
        <v>45098</v>
      </c>
      <c r="B220" t="s">
        <v>10</v>
      </c>
      <c r="C220" t="s">
        <v>17</v>
      </c>
      <c r="D220" t="s">
        <v>11</v>
      </c>
      <c r="E220">
        <v>120</v>
      </c>
      <c r="F220">
        <v>29</v>
      </c>
      <c r="G220">
        <v>3480</v>
      </c>
    </row>
    <row r="221" spans="1:7" x14ac:dyDescent="0.35">
      <c r="A221" s="24">
        <v>45110</v>
      </c>
      <c r="B221" t="s">
        <v>15</v>
      </c>
      <c r="C221" t="s">
        <v>17</v>
      </c>
      <c r="D221" t="s">
        <v>18</v>
      </c>
      <c r="E221">
        <v>65000</v>
      </c>
      <c r="F221">
        <v>48</v>
      </c>
      <c r="G221">
        <v>3120000</v>
      </c>
    </row>
    <row r="222" spans="1:7" x14ac:dyDescent="0.35">
      <c r="A222" s="24">
        <v>45161</v>
      </c>
      <c r="B222" t="s">
        <v>10</v>
      </c>
      <c r="C222" t="s">
        <v>17</v>
      </c>
      <c r="D222" t="s">
        <v>11</v>
      </c>
      <c r="E222">
        <v>45000</v>
      </c>
      <c r="F222">
        <v>34</v>
      </c>
      <c r="G222">
        <v>1530000</v>
      </c>
    </row>
    <row r="223" spans="1:7" x14ac:dyDescent="0.35">
      <c r="A223" s="24">
        <v>45206</v>
      </c>
      <c r="B223" t="s">
        <v>10</v>
      </c>
      <c r="C223" t="s">
        <v>17</v>
      </c>
      <c r="D223" t="s">
        <v>9</v>
      </c>
      <c r="E223">
        <v>120</v>
      </c>
      <c r="F223">
        <v>41</v>
      </c>
      <c r="G223">
        <v>4920</v>
      </c>
    </row>
    <row r="224" spans="1:7" x14ac:dyDescent="0.35">
      <c r="A224" s="24">
        <v>45224</v>
      </c>
      <c r="B224" t="s">
        <v>15</v>
      </c>
      <c r="C224" t="s">
        <v>17</v>
      </c>
      <c r="D224" t="s">
        <v>18</v>
      </c>
      <c r="E224">
        <v>200</v>
      </c>
      <c r="F224">
        <v>41</v>
      </c>
      <c r="G224">
        <v>8200</v>
      </c>
    </row>
    <row r="225" spans="1:7" x14ac:dyDescent="0.35">
      <c r="A225" s="24">
        <v>45233</v>
      </c>
      <c r="B225" t="s">
        <v>15</v>
      </c>
      <c r="C225" t="s">
        <v>17</v>
      </c>
      <c r="D225" t="s">
        <v>18</v>
      </c>
      <c r="E225">
        <v>13500</v>
      </c>
      <c r="F225">
        <v>39</v>
      </c>
      <c r="G225">
        <v>526500</v>
      </c>
    </row>
    <row r="226" spans="1:7" x14ac:dyDescent="0.35">
      <c r="A226" s="24">
        <v>45254</v>
      </c>
      <c r="B226" t="s">
        <v>15</v>
      </c>
      <c r="C226" t="s">
        <v>17</v>
      </c>
      <c r="D226" t="s">
        <v>9</v>
      </c>
      <c r="E226">
        <v>999</v>
      </c>
      <c r="F226">
        <v>31</v>
      </c>
      <c r="G226">
        <v>30969</v>
      </c>
    </row>
    <row r="227" spans="1:7" x14ac:dyDescent="0.35">
      <c r="A227" s="24">
        <v>45257</v>
      </c>
      <c r="B227" t="s">
        <v>15</v>
      </c>
      <c r="C227" t="s">
        <v>17</v>
      </c>
      <c r="D227" t="s">
        <v>18</v>
      </c>
      <c r="E227">
        <v>100</v>
      </c>
      <c r="F227">
        <v>11</v>
      </c>
      <c r="G227">
        <v>1100</v>
      </c>
    </row>
    <row r="228" spans="1:7" x14ac:dyDescent="0.35">
      <c r="A228" s="24">
        <v>45281</v>
      </c>
      <c r="B228" t="s">
        <v>12</v>
      </c>
      <c r="C228" t="s">
        <v>17</v>
      </c>
      <c r="D228" t="s">
        <v>9</v>
      </c>
      <c r="E228">
        <v>200</v>
      </c>
      <c r="F228">
        <v>8</v>
      </c>
      <c r="G228">
        <v>1600</v>
      </c>
    </row>
    <row r="229" spans="1:7" x14ac:dyDescent="0.35">
      <c r="A229" s="24">
        <v>45287</v>
      </c>
      <c r="B229" t="s">
        <v>15</v>
      </c>
      <c r="C229" t="s">
        <v>17</v>
      </c>
      <c r="D229" t="s">
        <v>21</v>
      </c>
      <c r="E229">
        <v>120</v>
      </c>
      <c r="F229">
        <v>10</v>
      </c>
      <c r="G229">
        <v>1200</v>
      </c>
    </row>
    <row r="230" spans="1:7" x14ac:dyDescent="0.35">
      <c r="A230" s="24">
        <v>45308</v>
      </c>
      <c r="B230" t="s">
        <v>15</v>
      </c>
      <c r="C230" t="s">
        <v>17</v>
      </c>
      <c r="D230" t="s">
        <v>14</v>
      </c>
      <c r="E230">
        <v>999</v>
      </c>
      <c r="F230">
        <v>28</v>
      </c>
      <c r="G230">
        <v>27972</v>
      </c>
    </row>
    <row r="231" spans="1:7" x14ac:dyDescent="0.35">
      <c r="A231" s="24">
        <v>45335</v>
      </c>
      <c r="B231" t="s">
        <v>15</v>
      </c>
      <c r="C231" t="s">
        <v>17</v>
      </c>
      <c r="D231" t="s">
        <v>21</v>
      </c>
      <c r="E231">
        <v>120</v>
      </c>
      <c r="F231">
        <v>22</v>
      </c>
      <c r="G231">
        <v>2640</v>
      </c>
    </row>
    <row r="232" spans="1:7" x14ac:dyDescent="0.35">
      <c r="A232" s="24">
        <v>45347</v>
      </c>
      <c r="B232" t="s">
        <v>15</v>
      </c>
      <c r="C232" t="s">
        <v>17</v>
      </c>
      <c r="D232" t="s">
        <v>21</v>
      </c>
      <c r="E232">
        <v>100</v>
      </c>
      <c r="F232">
        <v>41</v>
      </c>
      <c r="G232">
        <v>4100</v>
      </c>
    </row>
    <row r="233" spans="1:7" x14ac:dyDescent="0.35">
      <c r="A233" s="24">
        <v>45383</v>
      </c>
      <c r="B233" t="s">
        <v>15</v>
      </c>
      <c r="C233" t="s">
        <v>17</v>
      </c>
      <c r="D233" t="s">
        <v>9</v>
      </c>
      <c r="E233">
        <v>12000</v>
      </c>
      <c r="F233">
        <v>9</v>
      </c>
      <c r="G233">
        <v>108000</v>
      </c>
    </row>
    <row r="234" spans="1:7" x14ac:dyDescent="0.35">
      <c r="A234" s="24">
        <v>45416</v>
      </c>
      <c r="B234" t="s">
        <v>15</v>
      </c>
      <c r="C234" t="s">
        <v>17</v>
      </c>
      <c r="D234" t="s">
        <v>14</v>
      </c>
      <c r="E234">
        <v>14500</v>
      </c>
      <c r="F234">
        <v>29</v>
      </c>
      <c r="G234">
        <v>420500</v>
      </c>
    </row>
    <row r="235" spans="1:7" x14ac:dyDescent="0.35">
      <c r="A235" s="24">
        <v>45428</v>
      </c>
      <c r="B235" t="s">
        <v>15</v>
      </c>
      <c r="C235" t="s">
        <v>17</v>
      </c>
      <c r="D235" t="s">
        <v>18</v>
      </c>
      <c r="E235">
        <v>65000</v>
      </c>
      <c r="F235">
        <v>48</v>
      </c>
      <c r="G235">
        <v>3120000</v>
      </c>
    </row>
    <row r="236" spans="1:7" x14ac:dyDescent="0.35">
      <c r="A236" s="24">
        <v>45431</v>
      </c>
      <c r="B236" t="s">
        <v>12</v>
      </c>
      <c r="C236" t="s">
        <v>17</v>
      </c>
      <c r="D236" t="s">
        <v>24</v>
      </c>
      <c r="E236">
        <v>12000</v>
      </c>
      <c r="F236">
        <v>22</v>
      </c>
      <c r="G236">
        <v>264000</v>
      </c>
    </row>
    <row r="237" spans="1:7" x14ac:dyDescent="0.35">
      <c r="A237" s="24">
        <v>45455</v>
      </c>
      <c r="B237" t="s">
        <v>15</v>
      </c>
      <c r="C237" t="s">
        <v>17</v>
      </c>
      <c r="D237" t="s">
        <v>9</v>
      </c>
      <c r="E237">
        <v>89</v>
      </c>
      <c r="F237">
        <v>36</v>
      </c>
      <c r="G237">
        <v>3204</v>
      </c>
    </row>
    <row r="238" spans="1:7" x14ac:dyDescent="0.35">
      <c r="A238" s="24">
        <v>45467</v>
      </c>
      <c r="B238" t="s">
        <v>15</v>
      </c>
      <c r="C238" t="s">
        <v>17</v>
      </c>
      <c r="D238" t="s">
        <v>21</v>
      </c>
      <c r="E238">
        <v>120</v>
      </c>
      <c r="F238">
        <v>6</v>
      </c>
      <c r="G238">
        <v>720</v>
      </c>
    </row>
    <row r="239" spans="1:7" x14ac:dyDescent="0.35">
      <c r="A239" s="24">
        <v>45479</v>
      </c>
      <c r="B239" t="s">
        <v>10</v>
      </c>
      <c r="C239" t="s">
        <v>17</v>
      </c>
      <c r="D239" t="s">
        <v>14</v>
      </c>
      <c r="E239">
        <v>999</v>
      </c>
      <c r="F239">
        <v>34</v>
      </c>
      <c r="G239">
        <v>33966</v>
      </c>
    </row>
    <row r="240" spans="1:7" x14ac:dyDescent="0.35">
      <c r="A240" s="24">
        <v>45503</v>
      </c>
      <c r="B240" t="s">
        <v>12</v>
      </c>
      <c r="C240" t="s">
        <v>17</v>
      </c>
      <c r="D240" t="s">
        <v>21</v>
      </c>
      <c r="E240">
        <v>999</v>
      </c>
      <c r="F240">
        <v>45</v>
      </c>
      <c r="G240">
        <v>44955</v>
      </c>
    </row>
    <row r="241" spans="1:7" x14ac:dyDescent="0.35">
      <c r="A241" s="24">
        <v>45524</v>
      </c>
      <c r="B241" t="s">
        <v>15</v>
      </c>
      <c r="C241" t="s">
        <v>17</v>
      </c>
      <c r="D241" t="s">
        <v>9</v>
      </c>
      <c r="E241">
        <v>120</v>
      </c>
      <c r="F241">
        <v>41</v>
      </c>
      <c r="G241">
        <v>4920</v>
      </c>
    </row>
    <row r="242" spans="1:7" x14ac:dyDescent="0.35">
      <c r="A242" s="24">
        <v>45542</v>
      </c>
      <c r="B242" t="s">
        <v>15</v>
      </c>
      <c r="C242" t="s">
        <v>17</v>
      </c>
      <c r="D242" t="s">
        <v>18</v>
      </c>
      <c r="E242">
        <v>200</v>
      </c>
      <c r="F242">
        <v>41</v>
      </c>
      <c r="G242">
        <v>8200</v>
      </c>
    </row>
    <row r="243" spans="1:7" x14ac:dyDescent="0.35">
      <c r="A243" s="24">
        <v>45551</v>
      </c>
      <c r="B243" t="s">
        <v>10</v>
      </c>
      <c r="C243" t="s">
        <v>17</v>
      </c>
      <c r="D243" t="s">
        <v>18</v>
      </c>
      <c r="E243">
        <v>100</v>
      </c>
      <c r="F243">
        <v>39</v>
      </c>
      <c r="G243">
        <v>3900</v>
      </c>
    </row>
    <row r="244" spans="1:7" x14ac:dyDescent="0.35">
      <c r="A244" s="24">
        <v>45566</v>
      </c>
      <c r="B244" t="s">
        <v>15</v>
      </c>
      <c r="C244" t="s">
        <v>17</v>
      </c>
      <c r="D244" t="s">
        <v>21</v>
      </c>
      <c r="E244">
        <v>120</v>
      </c>
      <c r="F244">
        <v>22</v>
      </c>
      <c r="G244">
        <v>2640</v>
      </c>
    </row>
    <row r="245" spans="1:7" x14ac:dyDescent="0.35">
      <c r="A245" s="24">
        <v>45578</v>
      </c>
      <c r="B245" t="s">
        <v>12</v>
      </c>
      <c r="C245" t="s">
        <v>17</v>
      </c>
      <c r="D245" t="s">
        <v>21</v>
      </c>
      <c r="E245">
        <v>100</v>
      </c>
      <c r="F245">
        <v>41</v>
      </c>
      <c r="G245">
        <v>4100</v>
      </c>
    </row>
    <row r="246" spans="1:7" x14ac:dyDescent="0.35">
      <c r="A246" s="24">
        <v>45614</v>
      </c>
      <c r="B246" t="s">
        <v>15</v>
      </c>
      <c r="C246" t="s">
        <v>17</v>
      </c>
      <c r="D246" t="s">
        <v>9</v>
      </c>
      <c r="E246">
        <v>120</v>
      </c>
      <c r="F246">
        <v>9</v>
      </c>
      <c r="G246">
        <v>1080</v>
      </c>
    </row>
    <row r="247" spans="1:7" x14ac:dyDescent="0.35">
      <c r="A247" s="24">
        <v>45647</v>
      </c>
      <c r="B247" t="s">
        <v>12</v>
      </c>
      <c r="C247" t="s">
        <v>17</v>
      </c>
      <c r="D247" t="s">
        <v>14</v>
      </c>
      <c r="E247">
        <v>120</v>
      </c>
      <c r="F247">
        <v>29</v>
      </c>
      <c r="G247">
        <v>3480</v>
      </c>
    </row>
    <row r="248" spans="1:7" x14ac:dyDescent="0.35">
      <c r="A248" s="24">
        <v>45659</v>
      </c>
      <c r="B248" t="s">
        <v>10</v>
      </c>
      <c r="C248" t="s">
        <v>17</v>
      </c>
      <c r="D248" t="s">
        <v>14</v>
      </c>
      <c r="E248">
        <v>120</v>
      </c>
      <c r="F248">
        <v>48</v>
      </c>
      <c r="G248">
        <v>5760</v>
      </c>
    </row>
    <row r="249" spans="1:7" x14ac:dyDescent="0.35">
      <c r="A249" s="24">
        <v>45686</v>
      </c>
      <c r="B249" t="s">
        <v>15</v>
      </c>
      <c r="C249" t="s">
        <v>17</v>
      </c>
      <c r="D249" t="s">
        <v>9</v>
      </c>
      <c r="E249">
        <v>89</v>
      </c>
      <c r="F249">
        <v>36</v>
      </c>
      <c r="G249">
        <v>3204</v>
      </c>
    </row>
    <row r="250" spans="1:7" x14ac:dyDescent="0.35">
      <c r="A250" s="24">
        <v>45698</v>
      </c>
      <c r="B250" t="s">
        <v>15</v>
      </c>
      <c r="C250" t="s">
        <v>17</v>
      </c>
      <c r="D250" t="s">
        <v>21</v>
      </c>
      <c r="E250">
        <v>120</v>
      </c>
      <c r="F250">
        <v>6</v>
      </c>
      <c r="G250">
        <v>720</v>
      </c>
    </row>
    <row r="251" spans="1:7" x14ac:dyDescent="0.35">
      <c r="A251" s="24">
        <v>45710</v>
      </c>
      <c r="B251" t="s">
        <v>12</v>
      </c>
      <c r="C251" t="s">
        <v>17</v>
      </c>
      <c r="D251" t="s">
        <v>11</v>
      </c>
      <c r="E251">
        <v>999</v>
      </c>
      <c r="F251">
        <v>34</v>
      </c>
      <c r="G251">
        <v>33966</v>
      </c>
    </row>
    <row r="252" spans="1:7" x14ac:dyDescent="0.35">
      <c r="A252" s="24">
        <v>45734</v>
      </c>
      <c r="B252" t="s">
        <v>12</v>
      </c>
      <c r="C252" t="s">
        <v>17</v>
      </c>
      <c r="D252" t="s">
        <v>21</v>
      </c>
      <c r="E252">
        <v>999</v>
      </c>
      <c r="F252">
        <v>45</v>
      </c>
      <c r="G252">
        <v>44955</v>
      </c>
    </row>
    <row r="253" spans="1:7" x14ac:dyDescent="0.35">
      <c r="A253" s="24">
        <v>45755</v>
      </c>
      <c r="B253" t="s">
        <v>15</v>
      </c>
      <c r="C253" t="s">
        <v>17</v>
      </c>
      <c r="D253" t="s">
        <v>24</v>
      </c>
      <c r="E253">
        <v>550</v>
      </c>
      <c r="F253">
        <v>44</v>
      </c>
      <c r="G253">
        <v>24200</v>
      </c>
    </row>
    <row r="254" spans="1:7" x14ac:dyDescent="0.35">
      <c r="A254" s="24">
        <v>45761</v>
      </c>
      <c r="B254" t="s">
        <v>10</v>
      </c>
      <c r="C254" t="s">
        <v>17</v>
      </c>
      <c r="D254" t="s">
        <v>14</v>
      </c>
      <c r="E254">
        <v>120</v>
      </c>
      <c r="F254">
        <v>48</v>
      </c>
      <c r="G254">
        <v>5760</v>
      </c>
    </row>
    <row r="255" spans="1:7" x14ac:dyDescent="0.35">
      <c r="A255" s="24">
        <v>45788</v>
      </c>
      <c r="B255" t="s">
        <v>15</v>
      </c>
      <c r="C255" t="s">
        <v>17</v>
      </c>
      <c r="D255" t="s">
        <v>9</v>
      </c>
      <c r="E255">
        <v>89</v>
      </c>
      <c r="F255">
        <v>36</v>
      </c>
      <c r="G255">
        <v>3204</v>
      </c>
    </row>
    <row r="256" spans="1:7" x14ac:dyDescent="0.35">
      <c r="A256" s="24">
        <v>45800</v>
      </c>
      <c r="B256" t="s">
        <v>15</v>
      </c>
      <c r="C256" t="s">
        <v>17</v>
      </c>
      <c r="D256" t="s">
        <v>21</v>
      </c>
      <c r="E256">
        <v>120</v>
      </c>
      <c r="F256">
        <v>6</v>
      </c>
      <c r="G256">
        <v>720</v>
      </c>
    </row>
    <row r="257" spans="1:7" x14ac:dyDescent="0.35">
      <c r="A257" s="24">
        <v>45812</v>
      </c>
      <c r="B257" t="s">
        <v>12</v>
      </c>
      <c r="C257" t="s">
        <v>17</v>
      </c>
      <c r="D257" t="s">
        <v>11</v>
      </c>
      <c r="E257">
        <v>999</v>
      </c>
      <c r="F257">
        <v>34</v>
      </c>
      <c r="G257">
        <v>33966</v>
      </c>
    </row>
    <row r="258" spans="1:7" x14ac:dyDescent="0.35">
      <c r="A258" s="24">
        <v>45836</v>
      </c>
      <c r="B258" t="s">
        <v>12</v>
      </c>
      <c r="C258" t="s">
        <v>17</v>
      </c>
      <c r="D258" t="s">
        <v>21</v>
      </c>
      <c r="E258">
        <v>999</v>
      </c>
      <c r="F258">
        <v>45</v>
      </c>
      <c r="G258">
        <v>44955</v>
      </c>
    </row>
    <row r="259" spans="1:7" x14ac:dyDescent="0.35">
      <c r="A259" s="24">
        <v>45857</v>
      </c>
      <c r="B259" t="s">
        <v>15</v>
      </c>
      <c r="C259" t="s">
        <v>17</v>
      </c>
      <c r="D259" t="s">
        <v>24</v>
      </c>
      <c r="E259">
        <v>550</v>
      </c>
      <c r="F259">
        <v>44</v>
      </c>
      <c r="G259">
        <v>24200</v>
      </c>
    </row>
    <row r="260" spans="1:7" x14ac:dyDescent="0.35">
      <c r="A260" s="24">
        <v>44951</v>
      </c>
      <c r="B260" t="s">
        <v>12</v>
      </c>
      <c r="C260" t="s">
        <v>22</v>
      </c>
      <c r="D260" t="s">
        <v>18</v>
      </c>
      <c r="E260">
        <v>990</v>
      </c>
      <c r="F260">
        <v>9</v>
      </c>
      <c r="G260">
        <v>8910</v>
      </c>
    </row>
    <row r="261" spans="1:7" x14ac:dyDescent="0.35">
      <c r="A261" s="24">
        <v>44960</v>
      </c>
      <c r="B261" t="s">
        <v>10</v>
      </c>
      <c r="C261" t="s">
        <v>22</v>
      </c>
      <c r="D261" t="s">
        <v>9</v>
      </c>
      <c r="E261">
        <v>1999</v>
      </c>
      <c r="F261">
        <v>4</v>
      </c>
      <c r="G261">
        <v>7996</v>
      </c>
    </row>
    <row r="262" spans="1:7" x14ac:dyDescent="0.35">
      <c r="A262" s="24">
        <v>44966</v>
      </c>
      <c r="B262" t="s">
        <v>23</v>
      </c>
      <c r="C262" t="s">
        <v>22</v>
      </c>
      <c r="D262" t="s">
        <v>18</v>
      </c>
      <c r="E262">
        <v>1499</v>
      </c>
      <c r="F262">
        <v>27</v>
      </c>
      <c r="G262">
        <v>40473</v>
      </c>
    </row>
    <row r="263" spans="1:7" x14ac:dyDescent="0.35">
      <c r="A263" s="24">
        <v>45002</v>
      </c>
      <c r="B263" t="s">
        <v>10</v>
      </c>
      <c r="C263" t="s">
        <v>22</v>
      </c>
      <c r="D263" t="s">
        <v>11</v>
      </c>
      <c r="E263">
        <v>699</v>
      </c>
      <c r="F263">
        <v>45</v>
      </c>
      <c r="G263">
        <v>31455</v>
      </c>
    </row>
    <row r="264" spans="1:7" x14ac:dyDescent="0.35">
      <c r="A264" s="24">
        <v>45014</v>
      </c>
      <c r="B264" t="s">
        <v>23</v>
      </c>
      <c r="C264" t="s">
        <v>22</v>
      </c>
      <c r="D264" t="s">
        <v>18</v>
      </c>
      <c r="E264">
        <v>1499</v>
      </c>
      <c r="F264">
        <v>16</v>
      </c>
      <c r="G264">
        <v>23984</v>
      </c>
    </row>
    <row r="265" spans="1:7" x14ac:dyDescent="0.35">
      <c r="A265" s="24">
        <v>45023</v>
      </c>
      <c r="B265" t="s">
        <v>23</v>
      </c>
      <c r="C265" t="s">
        <v>22</v>
      </c>
      <c r="D265" t="s">
        <v>18</v>
      </c>
      <c r="E265">
        <v>1999</v>
      </c>
      <c r="F265">
        <v>23</v>
      </c>
      <c r="G265">
        <v>45977</v>
      </c>
    </row>
    <row r="266" spans="1:7" x14ac:dyDescent="0.35">
      <c r="A266" s="24">
        <v>45044</v>
      </c>
      <c r="B266" t="s">
        <v>12</v>
      </c>
      <c r="C266" t="s">
        <v>22</v>
      </c>
      <c r="D266" t="s">
        <v>11</v>
      </c>
      <c r="E266">
        <v>2900</v>
      </c>
      <c r="F266">
        <v>20</v>
      </c>
      <c r="G266">
        <v>58000</v>
      </c>
    </row>
    <row r="267" spans="1:7" x14ac:dyDescent="0.35">
      <c r="A267" s="24">
        <v>45053</v>
      </c>
      <c r="B267" t="s">
        <v>23</v>
      </c>
      <c r="C267" t="s">
        <v>22</v>
      </c>
      <c r="D267" t="s">
        <v>11</v>
      </c>
      <c r="E267">
        <v>699</v>
      </c>
      <c r="F267">
        <v>50</v>
      </c>
      <c r="G267">
        <v>34950</v>
      </c>
    </row>
    <row r="268" spans="1:7" x14ac:dyDescent="0.35">
      <c r="A268" s="24">
        <v>45059</v>
      </c>
      <c r="B268" t="s">
        <v>10</v>
      </c>
      <c r="C268" t="s">
        <v>22</v>
      </c>
      <c r="D268" t="s">
        <v>18</v>
      </c>
      <c r="E268">
        <v>590</v>
      </c>
      <c r="F268">
        <v>43</v>
      </c>
      <c r="G268">
        <v>25370</v>
      </c>
    </row>
    <row r="269" spans="1:7" x14ac:dyDescent="0.35">
      <c r="A269" s="24">
        <v>45062</v>
      </c>
      <c r="B269" t="s">
        <v>23</v>
      </c>
      <c r="C269" t="s">
        <v>22</v>
      </c>
      <c r="D269" t="s">
        <v>11</v>
      </c>
      <c r="E269">
        <v>590</v>
      </c>
      <c r="F269">
        <v>42</v>
      </c>
      <c r="G269">
        <v>24780</v>
      </c>
    </row>
    <row r="270" spans="1:7" x14ac:dyDescent="0.35">
      <c r="A270" s="24">
        <v>45080</v>
      </c>
      <c r="B270" t="s">
        <v>23</v>
      </c>
      <c r="C270" t="s">
        <v>22</v>
      </c>
      <c r="D270" t="s">
        <v>18</v>
      </c>
      <c r="E270">
        <v>1999</v>
      </c>
      <c r="F270">
        <v>37</v>
      </c>
      <c r="G270">
        <v>73963</v>
      </c>
    </row>
    <row r="271" spans="1:7" x14ac:dyDescent="0.35">
      <c r="A271" s="24">
        <v>45107</v>
      </c>
      <c r="B271" t="s">
        <v>10</v>
      </c>
      <c r="C271" t="s">
        <v>22</v>
      </c>
      <c r="D271" t="s">
        <v>11</v>
      </c>
      <c r="E271">
        <v>450</v>
      </c>
      <c r="F271">
        <v>16</v>
      </c>
      <c r="G271">
        <v>7200</v>
      </c>
    </row>
    <row r="272" spans="1:7" x14ac:dyDescent="0.35">
      <c r="A272" s="24">
        <v>45116</v>
      </c>
      <c r="B272" t="s">
        <v>23</v>
      </c>
      <c r="C272" t="s">
        <v>22</v>
      </c>
      <c r="D272" t="s">
        <v>14</v>
      </c>
      <c r="E272">
        <v>699</v>
      </c>
      <c r="F272">
        <v>6</v>
      </c>
      <c r="G272">
        <v>4194</v>
      </c>
    </row>
    <row r="273" spans="1:7" x14ac:dyDescent="0.35">
      <c r="A273" s="24">
        <v>45119</v>
      </c>
      <c r="B273" t="s">
        <v>10</v>
      </c>
      <c r="C273" t="s">
        <v>22</v>
      </c>
      <c r="D273" t="s">
        <v>11</v>
      </c>
      <c r="E273">
        <v>990</v>
      </c>
      <c r="F273">
        <v>12</v>
      </c>
      <c r="G273">
        <v>11880</v>
      </c>
    </row>
    <row r="274" spans="1:7" x14ac:dyDescent="0.35">
      <c r="A274" s="24">
        <v>45125</v>
      </c>
      <c r="B274" t="s">
        <v>23</v>
      </c>
      <c r="C274" t="s">
        <v>22</v>
      </c>
      <c r="D274" t="s">
        <v>14</v>
      </c>
      <c r="E274">
        <v>1499</v>
      </c>
      <c r="F274">
        <v>15</v>
      </c>
      <c r="G274">
        <v>22485</v>
      </c>
    </row>
    <row r="275" spans="1:7" x14ac:dyDescent="0.35">
      <c r="A275" s="24">
        <v>45146</v>
      </c>
      <c r="B275" t="s">
        <v>23</v>
      </c>
      <c r="C275" t="s">
        <v>22</v>
      </c>
      <c r="D275" t="s">
        <v>18</v>
      </c>
      <c r="E275">
        <v>2900</v>
      </c>
      <c r="F275">
        <v>6</v>
      </c>
      <c r="G275">
        <v>17400</v>
      </c>
    </row>
    <row r="276" spans="1:7" x14ac:dyDescent="0.35">
      <c r="A276" s="24">
        <v>45164</v>
      </c>
      <c r="B276" t="s">
        <v>23</v>
      </c>
      <c r="C276" t="s">
        <v>22</v>
      </c>
      <c r="D276" t="s">
        <v>9</v>
      </c>
      <c r="E276">
        <v>990</v>
      </c>
      <c r="F276">
        <v>43</v>
      </c>
      <c r="G276">
        <v>42570</v>
      </c>
    </row>
    <row r="277" spans="1:7" x14ac:dyDescent="0.35">
      <c r="A277" s="24">
        <v>45179</v>
      </c>
      <c r="B277" t="s">
        <v>10</v>
      </c>
      <c r="C277" t="s">
        <v>22</v>
      </c>
      <c r="D277" t="s">
        <v>11</v>
      </c>
      <c r="E277">
        <v>1499</v>
      </c>
      <c r="F277">
        <v>37</v>
      </c>
      <c r="G277">
        <v>55463</v>
      </c>
    </row>
    <row r="278" spans="1:7" x14ac:dyDescent="0.35">
      <c r="A278" s="24">
        <v>45218</v>
      </c>
      <c r="B278" t="s">
        <v>23</v>
      </c>
      <c r="C278" t="s">
        <v>22</v>
      </c>
      <c r="D278" t="s">
        <v>18</v>
      </c>
      <c r="E278">
        <v>2900</v>
      </c>
      <c r="F278">
        <v>49</v>
      </c>
      <c r="G278">
        <v>142100</v>
      </c>
    </row>
    <row r="279" spans="1:7" x14ac:dyDescent="0.35">
      <c r="A279" s="24">
        <v>45269</v>
      </c>
      <c r="B279" t="s">
        <v>23</v>
      </c>
      <c r="C279" t="s">
        <v>22</v>
      </c>
      <c r="D279" t="s">
        <v>14</v>
      </c>
      <c r="E279">
        <v>990</v>
      </c>
      <c r="F279">
        <v>9</v>
      </c>
      <c r="G279">
        <v>8910</v>
      </c>
    </row>
    <row r="280" spans="1:7" x14ac:dyDescent="0.35">
      <c r="A280" s="24">
        <v>45278</v>
      </c>
      <c r="B280" t="s">
        <v>23</v>
      </c>
      <c r="C280" t="s">
        <v>22</v>
      </c>
      <c r="D280" t="s">
        <v>9</v>
      </c>
      <c r="E280">
        <v>1999</v>
      </c>
      <c r="F280">
        <v>4</v>
      </c>
      <c r="G280">
        <v>7996</v>
      </c>
    </row>
    <row r="281" spans="1:7" x14ac:dyDescent="0.35">
      <c r="A281" s="24">
        <v>45284</v>
      </c>
      <c r="B281" t="s">
        <v>23</v>
      </c>
      <c r="C281" t="s">
        <v>22</v>
      </c>
      <c r="D281" t="s">
        <v>14</v>
      </c>
      <c r="E281">
        <v>1499</v>
      </c>
      <c r="F281">
        <v>27</v>
      </c>
      <c r="G281">
        <v>40473</v>
      </c>
    </row>
    <row r="282" spans="1:7" x14ac:dyDescent="0.35">
      <c r="A282" s="24">
        <v>45320</v>
      </c>
      <c r="B282" t="s">
        <v>23</v>
      </c>
      <c r="C282" t="s">
        <v>22</v>
      </c>
      <c r="D282" t="s">
        <v>14</v>
      </c>
      <c r="E282">
        <v>699</v>
      </c>
      <c r="F282">
        <v>45</v>
      </c>
      <c r="G282">
        <v>31455</v>
      </c>
    </row>
    <row r="283" spans="1:7" x14ac:dyDescent="0.35">
      <c r="A283" s="24">
        <v>45332</v>
      </c>
      <c r="B283" t="s">
        <v>10</v>
      </c>
      <c r="C283" t="s">
        <v>22</v>
      </c>
      <c r="D283" t="s">
        <v>14</v>
      </c>
      <c r="E283">
        <v>1499</v>
      </c>
      <c r="F283">
        <v>16</v>
      </c>
      <c r="G283">
        <v>23984</v>
      </c>
    </row>
    <row r="284" spans="1:7" x14ac:dyDescent="0.35">
      <c r="A284" s="24">
        <v>45341</v>
      </c>
      <c r="B284" t="s">
        <v>23</v>
      </c>
      <c r="C284" t="s">
        <v>22</v>
      </c>
      <c r="D284" t="s">
        <v>14</v>
      </c>
      <c r="E284">
        <v>1999</v>
      </c>
      <c r="F284">
        <v>23</v>
      </c>
      <c r="G284">
        <v>45977</v>
      </c>
    </row>
    <row r="285" spans="1:7" x14ac:dyDescent="0.35">
      <c r="A285" s="24">
        <v>45362</v>
      </c>
      <c r="B285" t="s">
        <v>10</v>
      </c>
      <c r="C285" t="s">
        <v>22</v>
      </c>
      <c r="D285" t="s">
        <v>14</v>
      </c>
      <c r="E285">
        <v>2900</v>
      </c>
      <c r="F285">
        <v>20</v>
      </c>
      <c r="G285">
        <v>58000</v>
      </c>
    </row>
    <row r="286" spans="1:7" x14ac:dyDescent="0.35">
      <c r="A286" s="24">
        <v>45371</v>
      </c>
      <c r="B286" t="s">
        <v>10</v>
      </c>
      <c r="C286" t="s">
        <v>22</v>
      </c>
      <c r="D286" t="s">
        <v>11</v>
      </c>
      <c r="E286">
        <v>45000</v>
      </c>
      <c r="F286">
        <v>50</v>
      </c>
      <c r="G286">
        <v>2250000</v>
      </c>
    </row>
    <row r="287" spans="1:7" x14ac:dyDescent="0.35">
      <c r="A287" s="24">
        <v>45377</v>
      </c>
      <c r="B287" t="s">
        <v>23</v>
      </c>
      <c r="C287" t="s">
        <v>22</v>
      </c>
      <c r="D287" t="s">
        <v>18</v>
      </c>
      <c r="E287">
        <v>590</v>
      </c>
      <c r="F287">
        <v>43</v>
      </c>
      <c r="G287">
        <v>25370</v>
      </c>
    </row>
    <row r="288" spans="1:7" x14ac:dyDescent="0.35">
      <c r="A288" s="24">
        <v>45380</v>
      </c>
      <c r="B288" t="s">
        <v>12</v>
      </c>
      <c r="C288" t="s">
        <v>22</v>
      </c>
      <c r="D288" t="s">
        <v>11</v>
      </c>
      <c r="E288">
        <v>590</v>
      </c>
      <c r="F288">
        <v>42</v>
      </c>
      <c r="G288">
        <v>24780</v>
      </c>
    </row>
    <row r="289" spans="1:7" x14ac:dyDescent="0.35">
      <c r="A289" s="24">
        <v>45434</v>
      </c>
      <c r="B289" t="s">
        <v>23</v>
      </c>
      <c r="C289" t="s">
        <v>22</v>
      </c>
      <c r="D289" t="s">
        <v>18</v>
      </c>
      <c r="E289">
        <v>699</v>
      </c>
      <c r="F289">
        <v>6</v>
      </c>
      <c r="G289">
        <v>4194</v>
      </c>
    </row>
    <row r="290" spans="1:7" x14ac:dyDescent="0.35">
      <c r="A290" s="24">
        <v>45440</v>
      </c>
      <c r="B290" t="s">
        <v>23</v>
      </c>
      <c r="C290" t="s">
        <v>22</v>
      </c>
      <c r="D290" t="s">
        <v>9</v>
      </c>
      <c r="E290">
        <v>450</v>
      </c>
      <c r="F290">
        <v>44</v>
      </c>
      <c r="G290">
        <v>19800</v>
      </c>
    </row>
    <row r="291" spans="1:7" x14ac:dyDescent="0.35">
      <c r="A291" s="24">
        <v>45464</v>
      </c>
      <c r="B291" t="s">
        <v>23</v>
      </c>
      <c r="C291" t="s">
        <v>22</v>
      </c>
      <c r="D291" t="s">
        <v>18</v>
      </c>
      <c r="E291">
        <v>2900</v>
      </c>
      <c r="F291">
        <v>6</v>
      </c>
      <c r="G291">
        <v>17400</v>
      </c>
    </row>
    <row r="292" spans="1:7" x14ac:dyDescent="0.35">
      <c r="A292" s="24">
        <v>45473</v>
      </c>
      <c r="B292" t="s">
        <v>23</v>
      </c>
      <c r="C292" t="s">
        <v>22</v>
      </c>
      <c r="D292" t="s">
        <v>14</v>
      </c>
      <c r="E292">
        <v>590</v>
      </c>
      <c r="F292">
        <v>29</v>
      </c>
      <c r="G292">
        <v>17110</v>
      </c>
    </row>
    <row r="293" spans="1:7" x14ac:dyDescent="0.35">
      <c r="A293" s="24">
        <v>45482</v>
      </c>
      <c r="B293" t="s">
        <v>12</v>
      </c>
      <c r="C293" t="s">
        <v>22</v>
      </c>
      <c r="D293" t="s">
        <v>9</v>
      </c>
      <c r="E293">
        <v>990</v>
      </c>
      <c r="F293">
        <v>43</v>
      </c>
      <c r="G293">
        <v>42570</v>
      </c>
    </row>
    <row r="294" spans="1:7" x14ac:dyDescent="0.35">
      <c r="A294" s="24">
        <v>45494</v>
      </c>
      <c r="B294" t="s">
        <v>23</v>
      </c>
      <c r="C294" t="s">
        <v>22</v>
      </c>
      <c r="D294" t="s">
        <v>11</v>
      </c>
      <c r="E294">
        <v>450</v>
      </c>
      <c r="F294">
        <v>47</v>
      </c>
      <c r="G294">
        <v>21150</v>
      </c>
    </row>
    <row r="295" spans="1:7" x14ac:dyDescent="0.35">
      <c r="A295" s="24">
        <v>45497</v>
      </c>
      <c r="B295" t="s">
        <v>10</v>
      </c>
      <c r="C295" t="s">
        <v>22</v>
      </c>
      <c r="D295" t="s">
        <v>14</v>
      </c>
      <c r="E295">
        <v>1499</v>
      </c>
      <c r="F295">
        <v>37</v>
      </c>
      <c r="G295">
        <v>55463</v>
      </c>
    </row>
    <row r="296" spans="1:7" x14ac:dyDescent="0.35">
      <c r="A296" s="24">
        <v>45533</v>
      </c>
      <c r="B296" t="s">
        <v>23</v>
      </c>
      <c r="C296" t="s">
        <v>22</v>
      </c>
      <c r="D296" t="s">
        <v>14</v>
      </c>
      <c r="E296">
        <v>1999</v>
      </c>
      <c r="F296">
        <v>48</v>
      </c>
      <c r="G296">
        <v>95952</v>
      </c>
    </row>
    <row r="297" spans="1:7" x14ac:dyDescent="0.35">
      <c r="A297" s="24">
        <v>45563</v>
      </c>
      <c r="B297" t="s">
        <v>23</v>
      </c>
      <c r="C297" t="s">
        <v>22</v>
      </c>
      <c r="D297" t="s">
        <v>18</v>
      </c>
      <c r="E297">
        <v>1499</v>
      </c>
      <c r="F297">
        <v>16</v>
      </c>
      <c r="G297">
        <v>23984</v>
      </c>
    </row>
    <row r="298" spans="1:7" x14ac:dyDescent="0.35">
      <c r="A298" s="24">
        <v>45593</v>
      </c>
      <c r="B298" t="s">
        <v>12</v>
      </c>
      <c r="C298" t="s">
        <v>22</v>
      </c>
      <c r="D298" t="s">
        <v>14</v>
      </c>
      <c r="E298">
        <v>2900</v>
      </c>
      <c r="F298">
        <v>20</v>
      </c>
      <c r="G298">
        <v>58000</v>
      </c>
    </row>
    <row r="299" spans="1:7" x14ac:dyDescent="0.35">
      <c r="A299" s="24">
        <v>45602</v>
      </c>
      <c r="B299" t="s">
        <v>23</v>
      </c>
      <c r="C299" t="s">
        <v>22</v>
      </c>
      <c r="D299" t="s">
        <v>11</v>
      </c>
      <c r="E299">
        <v>699</v>
      </c>
      <c r="F299">
        <v>50</v>
      </c>
      <c r="G299">
        <v>34950</v>
      </c>
    </row>
    <row r="300" spans="1:7" x14ac:dyDescent="0.35">
      <c r="A300" s="24">
        <v>45608</v>
      </c>
      <c r="B300" t="s">
        <v>23</v>
      </c>
      <c r="C300" t="s">
        <v>22</v>
      </c>
      <c r="D300" t="s">
        <v>18</v>
      </c>
      <c r="E300">
        <v>590</v>
      </c>
      <c r="F300">
        <v>43</v>
      </c>
      <c r="G300">
        <v>25370</v>
      </c>
    </row>
    <row r="301" spans="1:7" x14ac:dyDescent="0.35">
      <c r="A301" s="24">
        <v>45611</v>
      </c>
      <c r="B301" t="s">
        <v>23</v>
      </c>
      <c r="C301" t="s">
        <v>22</v>
      </c>
      <c r="D301" t="s">
        <v>11</v>
      </c>
      <c r="E301">
        <v>590</v>
      </c>
      <c r="F301">
        <v>42</v>
      </c>
      <c r="G301">
        <v>24780</v>
      </c>
    </row>
    <row r="302" spans="1:7" x14ac:dyDescent="0.35">
      <c r="A302" s="24">
        <v>45665</v>
      </c>
      <c r="B302" t="s">
        <v>23</v>
      </c>
      <c r="C302" t="s">
        <v>22</v>
      </c>
      <c r="D302" t="s">
        <v>18</v>
      </c>
      <c r="E302">
        <v>699</v>
      </c>
      <c r="F302">
        <v>6</v>
      </c>
      <c r="G302">
        <v>4194</v>
      </c>
    </row>
    <row r="303" spans="1:7" x14ac:dyDescent="0.35">
      <c r="A303" s="24">
        <v>45671</v>
      </c>
      <c r="B303" t="s">
        <v>12</v>
      </c>
      <c r="C303" t="s">
        <v>22</v>
      </c>
      <c r="D303" t="s">
        <v>24</v>
      </c>
      <c r="E303">
        <v>450</v>
      </c>
      <c r="F303">
        <v>44</v>
      </c>
      <c r="G303">
        <v>19800</v>
      </c>
    </row>
    <row r="304" spans="1:7" x14ac:dyDescent="0.35">
      <c r="A304" s="24">
        <v>45674</v>
      </c>
      <c r="B304" t="s">
        <v>23</v>
      </c>
      <c r="C304" t="s">
        <v>22</v>
      </c>
      <c r="D304" t="s">
        <v>14</v>
      </c>
      <c r="E304">
        <v>1499</v>
      </c>
      <c r="F304">
        <v>15</v>
      </c>
      <c r="G304">
        <v>22485</v>
      </c>
    </row>
    <row r="305" spans="1:7" x14ac:dyDescent="0.35">
      <c r="A305" s="24">
        <v>45695</v>
      </c>
      <c r="B305" t="s">
        <v>23</v>
      </c>
      <c r="C305" t="s">
        <v>22</v>
      </c>
      <c r="D305" t="s">
        <v>18</v>
      </c>
      <c r="E305">
        <v>2900</v>
      </c>
      <c r="F305">
        <v>6</v>
      </c>
      <c r="G305">
        <v>17400</v>
      </c>
    </row>
    <row r="306" spans="1:7" x14ac:dyDescent="0.35">
      <c r="A306" s="24">
        <v>45704</v>
      </c>
      <c r="B306" t="s">
        <v>10</v>
      </c>
      <c r="C306" t="s">
        <v>22</v>
      </c>
      <c r="D306" t="s">
        <v>11</v>
      </c>
      <c r="E306">
        <v>590</v>
      </c>
      <c r="F306">
        <v>29</v>
      </c>
      <c r="G306">
        <v>17110</v>
      </c>
    </row>
    <row r="307" spans="1:7" x14ac:dyDescent="0.35">
      <c r="A307" s="24">
        <v>45725</v>
      </c>
      <c r="B307" t="s">
        <v>23</v>
      </c>
      <c r="C307" t="s">
        <v>22</v>
      </c>
      <c r="D307" t="s">
        <v>11</v>
      </c>
      <c r="E307">
        <v>450</v>
      </c>
      <c r="F307">
        <v>47</v>
      </c>
      <c r="G307">
        <v>21150</v>
      </c>
    </row>
    <row r="308" spans="1:7" x14ac:dyDescent="0.35">
      <c r="A308" s="24">
        <v>45749</v>
      </c>
      <c r="B308" t="s">
        <v>23</v>
      </c>
      <c r="C308" t="s">
        <v>22</v>
      </c>
      <c r="D308" t="s">
        <v>24</v>
      </c>
      <c r="E308">
        <v>2500</v>
      </c>
      <c r="F308">
        <v>100</v>
      </c>
      <c r="G308">
        <v>250000</v>
      </c>
    </row>
    <row r="309" spans="1:7" x14ac:dyDescent="0.35">
      <c r="A309" s="24">
        <v>45767</v>
      </c>
      <c r="B309" t="s">
        <v>23</v>
      </c>
      <c r="C309" t="s">
        <v>22</v>
      </c>
      <c r="D309" t="s">
        <v>18</v>
      </c>
      <c r="E309">
        <v>699</v>
      </c>
      <c r="F309">
        <v>6</v>
      </c>
      <c r="G309">
        <v>4194</v>
      </c>
    </row>
    <row r="310" spans="1:7" x14ac:dyDescent="0.35">
      <c r="A310" s="24">
        <v>45773</v>
      </c>
      <c r="B310" t="s">
        <v>12</v>
      </c>
      <c r="C310" t="s">
        <v>22</v>
      </c>
      <c r="D310" t="s">
        <v>24</v>
      </c>
      <c r="E310">
        <v>450</v>
      </c>
      <c r="F310">
        <v>44</v>
      </c>
      <c r="G310">
        <v>19800</v>
      </c>
    </row>
    <row r="311" spans="1:7" x14ac:dyDescent="0.35">
      <c r="A311" s="24">
        <v>45776</v>
      </c>
      <c r="B311" t="s">
        <v>23</v>
      </c>
      <c r="C311" t="s">
        <v>22</v>
      </c>
      <c r="D311" t="s">
        <v>14</v>
      </c>
      <c r="E311">
        <v>1499</v>
      </c>
      <c r="F311">
        <v>15</v>
      </c>
      <c r="G311">
        <v>22485</v>
      </c>
    </row>
    <row r="312" spans="1:7" x14ac:dyDescent="0.35">
      <c r="A312" s="24">
        <v>45797</v>
      </c>
      <c r="B312" t="s">
        <v>23</v>
      </c>
      <c r="C312" t="s">
        <v>22</v>
      </c>
      <c r="D312" t="s">
        <v>18</v>
      </c>
      <c r="E312">
        <v>2900</v>
      </c>
      <c r="F312">
        <v>6</v>
      </c>
      <c r="G312">
        <v>17400</v>
      </c>
    </row>
    <row r="313" spans="1:7" x14ac:dyDescent="0.35">
      <c r="A313" s="24">
        <v>45806</v>
      </c>
      <c r="B313" t="s">
        <v>10</v>
      </c>
      <c r="C313" t="s">
        <v>22</v>
      </c>
      <c r="D313" t="s">
        <v>11</v>
      </c>
      <c r="E313">
        <v>590</v>
      </c>
      <c r="F313">
        <v>29</v>
      </c>
      <c r="G313">
        <v>17110</v>
      </c>
    </row>
    <row r="314" spans="1:7" x14ac:dyDescent="0.35">
      <c r="A314" s="24">
        <v>45827</v>
      </c>
      <c r="B314" t="s">
        <v>23</v>
      </c>
      <c r="C314" t="s">
        <v>22</v>
      </c>
      <c r="D314" t="s">
        <v>11</v>
      </c>
      <c r="E314">
        <v>450</v>
      </c>
      <c r="F314">
        <v>47</v>
      </c>
      <c r="G314">
        <v>21150</v>
      </c>
    </row>
    <row r="315" spans="1:7" x14ac:dyDescent="0.35">
      <c r="A315" s="24">
        <v>45851</v>
      </c>
      <c r="B315" t="s">
        <v>23</v>
      </c>
      <c r="C315" t="s">
        <v>22</v>
      </c>
      <c r="D315" t="s">
        <v>24</v>
      </c>
      <c r="E315">
        <v>2500</v>
      </c>
      <c r="F315">
        <v>100</v>
      </c>
      <c r="G315">
        <v>250000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A505-DE3A-41D1-8C94-790A2B51C7BD}">
  <sheetPr codeName="Sheet4"/>
  <dimension ref="A1:G69"/>
  <sheetViews>
    <sheetView workbookViewId="0">
      <selection activeCell="A3" sqref="A3:G69"/>
    </sheetView>
  </sheetViews>
  <sheetFormatPr defaultRowHeight="14.5" x14ac:dyDescent="0.35"/>
  <cols>
    <col min="1" max="1" width="10.08984375" bestFit="1" customWidth="1"/>
    <col min="2" max="2" width="14.36328125" bestFit="1" customWidth="1"/>
    <col min="3" max="3" width="10.54296875" bestFit="1" customWidth="1"/>
    <col min="4" max="4" width="10.26953125" bestFit="1" customWidth="1"/>
    <col min="5" max="6" width="8.81640625" bestFit="1" customWidth="1"/>
    <col min="7" max="7" width="9.90625" bestFit="1" customWidth="1"/>
  </cols>
  <sheetData>
    <row r="1" spans="1:7" x14ac:dyDescent="0.35">
      <c r="A1" s="25" t="s">
        <v>41</v>
      </c>
    </row>
    <row r="3" spans="1:7" x14ac:dyDescent="0.35">
      <c r="A3" t="s">
        <v>0</v>
      </c>
      <c r="B3" t="s">
        <v>1</v>
      </c>
      <c r="C3" t="s">
        <v>2</v>
      </c>
      <c r="D3" t="s">
        <v>3</v>
      </c>
      <c r="E3" t="s">
        <v>4</v>
      </c>
      <c r="F3" t="s">
        <v>5</v>
      </c>
      <c r="G3" t="s">
        <v>6</v>
      </c>
    </row>
    <row r="4" spans="1:7" x14ac:dyDescent="0.35">
      <c r="A4" s="24">
        <v>45860</v>
      </c>
      <c r="B4" t="s">
        <v>12</v>
      </c>
      <c r="C4" t="s">
        <v>20</v>
      </c>
      <c r="D4" t="s">
        <v>24</v>
      </c>
      <c r="E4">
        <v>65400</v>
      </c>
      <c r="F4">
        <v>19</v>
      </c>
      <c r="G4">
        <v>1242600</v>
      </c>
    </row>
    <row r="5" spans="1:7" x14ac:dyDescent="0.35">
      <c r="A5" s="24">
        <v>45842</v>
      </c>
      <c r="B5" t="s">
        <v>10</v>
      </c>
      <c r="C5" t="s">
        <v>20</v>
      </c>
      <c r="D5" t="s">
        <v>18</v>
      </c>
      <c r="E5">
        <v>52000</v>
      </c>
      <c r="F5">
        <v>39</v>
      </c>
      <c r="G5">
        <v>2028000</v>
      </c>
    </row>
    <row r="6" spans="1:7" x14ac:dyDescent="0.35">
      <c r="A6" s="24">
        <v>45839</v>
      </c>
      <c r="B6" t="s">
        <v>19</v>
      </c>
      <c r="C6" t="s">
        <v>20</v>
      </c>
      <c r="D6" t="s">
        <v>9</v>
      </c>
      <c r="E6">
        <v>52000</v>
      </c>
      <c r="F6">
        <v>15</v>
      </c>
      <c r="G6">
        <v>780000</v>
      </c>
    </row>
    <row r="7" spans="1:7" x14ac:dyDescent="0.35">
      <c r="A7" s="24">
        <v>45833</v>
      </c>
      <c r="B7" t="s">
        <v>19</v>
      </c>
      <c r="C7" t="s">
        <v>20</v>
      </c>
      <c r="D7" t="s">
        <v>11</v>
      </c>
      <c r="E7">
        <v>79999</v>
      </c>
      <c r="F7">
        <v>4</v>
      </c>
      <c r="G7">
        <v>319996</v>
      </c>
    </row>
    <row r="8" spans="1:7" x14ac:dyDescent="0.35">
      <c r="A8" s="24">
        <v>45818</v>
      </c>
      <c r="B8" t="s">
        <v>12</v>
      </c>
      <c r="C8" t="s">
        <v>20</v>
      </c>
      <c r="D8" t="s">
        <v>9</v>
      </c>
      <c r="E8">
        <v>11999</v>
      </c>
      <c r="F8">
        <v>37</v>
      </c>
      <c r="G8">
        <v>443963</v>
      </c>
    </row>
    <row r="9" spans="1:7" x14ac:dyDescent="0.35">
      <c r="A9" s="24">
        <v>45758</v>
      </c>
      <c r="B9" t="s">
        <v>12</v>
      </c>
      <c r="C9" t="s">
        <v>20</v>
      </c>
      <c r="D9" t="s">
        <v>24</v>
      </c>
      <c r="E9">
        <v>65400</v>
      </c>
      <c r="F9">
        <v>19</v>
      </c>
      <c r="G9">
        <v>1242600</v>
      </c>
    </row>
    <row r="10" spans="1:7" x14ac:dyDescent="0.35">
      <c r="A10" s="24">
        <v>44945</v>
      </c>
      <c r="B10" t="s">
        <v>19</v>
      </c>
      <c r="C10" t="s">
        <v>20</v>
      </c>
      <c r="D10" t="s">
        <v>14</v>
      </c>
      <c r="E10">
        <v>33000</v>
      </c>
      <c r="F10">
        <v>26</v>
      </c>
      <c r="G10">
        <v>858000</v>
      </c>
    </row>
    <row r="11" spans="1:7" x14ac:dyDescent="0.35">
      <c r="A11" s="24">
        <v>45740</v>
      </c>
      <c r="B11" t="s">
        <v>10</v>
      </c>
      <c r="C11" t="s">
        <v>20</v>
      </c>
      <c r="D11" t="s">
        <v>18</v>
      </c>
      <c r="E11">
        <v>52000</v>
      </c>
      <c r="F11">
        <v>39</v>
      </c>
      <c r="G11">
        <v>2028000</v>
      </c>
    </row>
    <row r="12" spans="1:7" x14ac:dyDescent="0.35">
      <c r="A12" s="24">
        <v>45737</v>
      </c>
      <c r="B12" t="s">
        <v>19</v>
      </c>
      <c r="C12" t="s">
        <v>20</v>
      </c>
      <c r="D12" t="s">
        <v>9</v>
      </c>
      <c r="E12">
        <v>52000</v>
      </c>
      <c r="F12">
        <v>15</v>
      </c>
      <c r="G12">
        <v>780000</v>
      </c>
    </row>
    <row r="13" spans="1:7" x14ac:dyDescent="0.35">
      <c r="A13" s="24">
        <v>45731</v>
      </c>
      <c r="B13" t="s">
        <v>19</v>
      </c>
      <c r="C13" t="s">
        <v>20</v>
      </c>
      <c r="D13" t="s">
        <v>11</v>
      </c>
      <c r="E13">
        <v>79999</v>
      </c>
      <c r="F13">
        <v>4</v>
      </c>
      <c r="G13">
        <v>319996</v>
      </c>
    </row>
    <row r="14" spans="1:7" x14ac:dyDescent="0.35">
      <c r="A14" s="24">
        <v>44957</v>
      </c>
      <c r="B14" t="s">
        <v>19</v>
      </c>
      <c r="C14" t="s">
        <v>20</v>
      </c>
      <c r="D14" t="s">
        <v>14</v>
      </c>
      <c r="E14">
        <v>499</v>
      </c>
      <c r="F14">
        <v>39</v>
      </c>
      <c r="G14">
        <v>19461</v>
      </c>
    </row>
    <row r="15" spans="1:7" x14ac:dyDescent="0.35">
      <c r="A15" s="24">
        <v>45716</v>
      </c>
      <c r="B15" t="s">
        <v>12</v>
      </c>
      <c r="C15" t="s">
        <v>20</v>
      </c>
      <c r="D15" t="s">
        <v>9</v>
      </c>
      <c r="E15">
        <v>11999</v>
      </c>
      <c r="F15">
        <v>37</v>
      </c>
      <c r="G15">
        <v>443963</v>
      </c>
    </row>
    <row r="16" spans="1:7" x14ac:dyDescent="0.35">
      <c r="A16" s="24">
        <v>45638</v>
      </c>
      <c r="B16" t="s">
        <v>19</v>
      </c>
      <c r="C16" t="s">
        <v>20</v>
      </c>
      <c r="D16" t="s">
        <v>24</v>
      </c>
      <c r="E16">
        <v>3990</v>
      </c>
      <c r="F16">
        <v>31</v>
      </c>
      <c r="G16">
        <v>123690</v>
      </c>
    </row>
    <row r="17" spans="1:7" x14ac:dyDescent="0.35">
      <c r="A17" s="24">
        <v>45635</v>
      </c>
      <c r="B17" t="s">
        <v>19</v>
      </c>
      <c r="C17" t="s">
        <v>20</v>
      </c>
      <c r="D17" t="s">
        <v>9</v>
      </c>
      <c r="E17">
        <v>799</v>
      </c>
      <c r="F17">
        <v>44</v>
      </c>
      <c r="G17">
        <v>35156</v>
      </c>
    </row>
    <row r="18" spans="1:7" x14ac:dyDescent="0.35">
      <c r="A18" s="24">
        <v>45632</v>
      </c>
      <c r="B18" t="s">
        <v>12</v>
      </c>
      <c r="C18" t="s">
        <v>20</v>
      </c>
      <c r="D18" t="s">
        <v>18</v>
      </c>
      <c r="E18">
        <v>89999</v>
      </c>
      <c r="F18">
        <v>29</v>
      </c>
      <c r="G18">
        <v>2609971</v>
      </c>
    </row>
    <row r="19" spans="1:7" x14ac:dyDescent="0.35">
      <c r="A19" s="24">
        <v>44972</v>
      </c>
      <c r="B19" t="s">
        <v>10</v>
      </c>
      <c r="C19" t="s">
        <v>20</v>
      </c>
      <c r="D19" t="s">
        <v>21</v>
      </c>
      <c r="E19">
        <v>11999</v>
      </c>
      <c r="F19">
        <v>17</v>
      </c>
      <c r="G19">
        <v>203983</v>
      </c>
    </row>
    <row r="20" spans="1:7" x14ac:dyDescent="0.35">
      <c r="A20" s="24">
        <v>45626</v>
      </c>
      <c r="B20" t="s">
        <v>19</v>
      </c>
      <c r="C20" t="s">
        <v>20</v>
      </c>
      <c r="D20" t="s">
        <v>18</v>
      </c>
      <c r="E20">
        <v>79999</v>
      </c>
      <c r="F20">
        <v>10</v>
      </c>
      <c r="G20">
        <v>799990</v>
      </c>
    </row>
    <row r="21" spans="1:7" x14ac:dyDescent="0.35">
      <c r="A21" s="24">
        <v>44978</v>
      </c>
      <c r="B21" t="s">
        <v>19</v>
      </c>
      <c r="C21" t="s">
        <v>20</v>
      </c>
      <c r="D21" t="s">
        <v>11</v>
      </c>
      <c r="E21">
        <v>2999</v>
      </c>
      <c r="F21">
        <v>43</v>
      </c>
      <c r="G21">
        <v>128957</v>
      </c>
    </row>
    <row r="22" spans="1:7" x14ac:dyDescent="0.35">
      <c r="A22" s="24">
        <v>45617</v>
      </c>
      <c r="B22" t="s">
        <v>12</v>
      </c>
      <c r="C22" t="s">
        <v>20</v>
      </c>
      <c r="D22" t="s">
        <v>24</v>
      </c>
      <c r="E22">
        <v>52000</v>
      </c>
      <c r="F22">
        <v>40</v>
      </c>
      <c r="G22">
        <v>2080000</v>
      </c>
    </row>
    <row r="23" spans="1:7" x14ac:dyDescent="0.35">
      <c r="A23" s="24">
        <v>44984</v>
      </c>
      <c r="B23" t="s">
        <v>10</v>
      </c>
      <c r="C23" t="s">
        <v>20</v>
      </c>
      <c r="D23" t="s">
        <v>9</v>
      </c>
      <c r="E23">
        <v>22000</v>
      </c>
      <c r="F23">
        <v>42</v>
      </c>
      <c r="G23">
        <v>924000</v>
      </c>
    </row>
    <row r="24" spans="1:7" x14ac:dyDescent="0.35">
      <c r="A24" s="24">
        <v>45605</v>
      </c>
      <c r="B24" t="s">
        <v>12</v>
      </c>
      <c r="C24" t="s">
        <v>20</v>
      </c>
      <c r="D24" t="s">
        <v>14</v>
      </c>
      <c r="E24">
        <v>499</v>
      </c>
      <c r="F24">
        <v>4</v>
      </c>
      <c r="G24">
        <v>1996</v>
      </c>
    </row>
    <row r="25" spans="1:7" x14ac:dyDescent="0.35">
      <c r="A25" s="24">
        <v>45596</v>
      </c>
      <c r="B25" t="s">
        <v>10</v>
      </c>
      <c r="C25" t="s">
        <v>20</v>
      </c>
      <c r="D25" t="s">
        <v>18</v>
      </c>
      <c r="E25">
        <v>33000</v>
      </c>
      <c r="F25">
        <v>16</v>
      </c>
      <c r="G25">
        <v>528000</v>
      </c>
    </row>
    <row r="26" spans="1:7" x14ac:dyDescent="0.35">
      <c r="A26" s="24">
        <v>45587</v>
      </c>
      <c r="B26" t="s">
        <v>19</v>
      </c>
      <c r="C26" t="s">
        <v>20</v>
      </c>
      <c r="D26" t="s">
        <v>24</v>
      </c>
      <c r="E26">
        <v>89999</v>
      </c>
      <c r="F26">
        <v>15</v>
      </c>
      <c r="G26">
        <v>1349985</v>
      </c>
    </row>
    <row r="27" spans="1:7" x14ac:dyDescent="0.35">
      <c r="A27" s="24">
        <v>45584</v>
      </c>
      <c r="B27" t="s">
        <v>19</v>
      </c>
      <c r="C27" t="s">
        <v>20</v>
      </c>
      <c r="D27" t="s">
        <v>18</v>
      </c>
      <c r="E27">
        <v>22000</v>
      </c>
      <c r="F27">
        <v>45</v>
      </c>
      <c r="G27">
        <v>990000</v>
      </c>
    </row>
    <row r="28" spans="1:7" x14ac:dyDescent="0.35">
      <c r="A28" s="24">
        <v>45557</v>
      </c>
      <c r="B28" t="s">
        <v>12</v>
      </c>
      <c r="C28" t="s">
        <v>20</v>
      </c>
      <c r="D28" t="s">
        <v>14</v>
      </c>
      <c r="E28">
        <v>700</v>
      </c>
      <c r="F28">
        <v>38</v>
      </c>
      <c r="G28">
        <v>26600</v>
      </c>
    </row>
    <row r="29" spans="1:7" x14ac:dyDescent="0.35">
      <c r="A29" s="24">
        <v>45539</v>
      </c>
      <c r="B29" t="s">
        <v>19</v>
      </c>
      <c r="C29" t="s">
        <v>20</v>
      </c>
      <c r="D29" t="s">
        <v>21</v>
      </c>
      <c r="E29">
        <v>700</v>
      </c>
      <c r="F29">
        <v>50</v>
      </c>
      <c r="G29">
        <v>35000</v>
      </c>
    </row>
    <row r="30" spans="1:7" x14ac:dyDescent="0.35">
      <c r="A30" s="24">
        <v>45530</v>
      </c>
      <c r="B30" t="s">
        <v>10</v>
      </c>
      <c r="C30" t="s">
        <v>20</v>
      </c>
      <c r="D30" t="s">
        <v>9</v>
      </c>
      <c r="E30">
        <v>89999</v>
      </c>
      <c r="F30">
        <v>15</v>
      </c>
      <c r="G30">
        <v>1349985</v>
      </c>
    </row>
    <row r="31" spans="1:7" x14ac:dyDescent="0.35">
      <c r="A31" s="24">
        <v>45008</v>
      </c>
      <c r="B31" t="s">
        <v>12</v>
      </c>
      <c r="C31" t="s">
        <v>20</v>
      </c>
      <c r="D31" t="s">
        <v>21</v>
      </c>
      <c r="E31">
        <v>22000</v>
      </c>
      <c r="F31">
        <v>4</v>
      </c>
      <c r="G31">
        <v>88000</v>
      </c>
    </row>
    <row r="32" spans="1:7" x14ac:dyDescent="0.35">
      <c r="A32" s="24">
        <v>45509</v>
      </c>
      <c r="B32" t="s">
        <v>19</v>
      </c>
      <c r="C32" t="s">
        <v>20</v>
      </c>
      <c r="D32" t="s">
        <v>18</v>
      </c>
      <c r="E32">
        <v>52000</v>
      </c>
      <c r="F32">
        <v>39</v>
      </c>
      <c r="G32">
        <v>2028000</v>
      </c>
    </row>
    <row r="33" spans="1:7" x14ac:dyDescent="0.35">
      <c r="A33" s="24">
        <v>45506</v>
      </c>
      <c r="B33" t="s">
        <v>19</v>
      </c>
      <c r="C33" t="s">
        <v>20</v>
      </c>
      <c r="D33" t="s">
        <v>9</v>
      </c>
      <c r="E33">
        <v>52000</v>
      </c>
      <c r="F33">
        <v>15</v>
      </c>
      <c r="G33">
        <v>780000</v>
      </c>
    </row>
    <row r="34" spans="1:7" x14ac:dyDescent="0.35">
      <c r="A34" s="24">
        <v>45500</v>
      </c>
      <c r="B34" t="s">
        <v>12</v>
      </c>
      <c r="C34" t="s">
        <v>20</v>
      </c>
      <c r="D34" t="s">
        <v>11</v>
      </c>
      <c r="E34">
        <v>79999</v>
      </c>
      <c r="F34">
        <v>4</v>
      </c>
      <c r="G34">
        <v>319996</v>
      </c>
    </row>
    <row r="35" spans="1:7" x14ac:dyDescent="0.35">
      <c r="A35" s="24">
        <v>45485</v>
      </c>
      <c r="B35" t="s">
        <v>19</v>
      </c>
      <c r="C35" t="s">
        <v>20</v>
      </c>
      <c r="D35" t="s">
        <v>9</v>
      </c>
      <c r="E35">
        <v>11999</v>
      </c>
      <c r="F35">
        <v>37</v>
      </c>
      <c r="G35">
        <v>443963</v>
      </c>
    </row>
    <row r="36" spans="1:7" x14ac:dyDescent="0.35">
      <c r="A36" s="24">
        <v>45470</v>
      </c>
      <c r="B36" t="s">
        <v>19</v>
      </c>
      <c r="C36" t="s">
        <v>20</v>
      </c>
      <c r="D36" t="s">
        <v>21</v>
      </c>
      <c r="E36">
        <v>52000</v>
      </c>
      <c r="F36">
        <v>41</v>
      </c>
      <c r="G36">
        <v>2132000</v>
      </c>
    </row>
    <row r="37" spans="1:7" x14ac:dyDescent="0.35">
      <c r="A37" s="24">
        <v>45410</v>
      </c>
      <c r="B37" t="s">
        <v>10</v>
      </c>
      <c r="C37" t="s">
        <v>20</v>
      </c>
      <c r="D37" t="s">
        <v>14</v>
      </c>
      <c r="E37">
        <v>52000</v>
      </c>
      <c r="F37">
        <v>29</v>
      </c>
      <c r="G37">
        <v>1508000</v>
      </c>
    </row>
    <row r="38" spans="1:7" x14ac:dyDescent="0.35">
      <c r="A38" s="24">
        <v>45407</v>
      </c>
      <c r="B38" t="s">
        <v>19</v>
      </c>
      <c r="C38" t="s">
        <v>20</v>
      </c>
      <c r="D38" t="s">
        <v>11</v>
      </c>
      <c r="E38">
        <v>3990</v>
      </c>
      <c r="F38">
        <v>31</v>
      </c>
      <c r="G38">
        <v>123690</v>
      </c>
    </row>
    <row r="39" spans="1:7" x14ac:dyDescent="0.35">
      <c r="A39" s="24">
        <v>45404</v>
      </c>
      <c r="B39" t="s">
        <v>12</v>
      </c>
      <c r="C39" t="s">
        <v>20</v>
      </c>
      <c r="D39" t="s">
        <v>9</v>
      </c>
      <c r="E39">
        <v>799</v>
      </c>
      <c r="F39">
        <v>44</v>
      </c>
      <c r="G39">
        <v>35156</v>
      </c>
    </row>
    <row r="40" spans="1:7" x14ac:dyDescent="0.35">
      <c r="A40" s="24">
        <v>45035</v>
      </c>
      <c r="B40" t="s">
        <v>10</v>
      </c>
      <c r="C40" t="s">
        <v>20</v>
      </c>
      <c r="D40" t="s">
        <v>18</v>
      </c>
      <c r="E40">
        <v>22000</v>
      </c>
      <c r="F40">
        <v>45</v>
      </c>
      <c r="G40">
        <v>990000</v>
      </c>
    </row>
    <row r="41" spans="1:7" x14ac:dyDescent="0.35">
      <c r="A41" s="24">
        <v>45401</v>
      </c>
      <c r="B41" t="s">
        <v>19</v>
      </c>
      <c r="C41" t="s">
        <v>20</v>
      </c>
      <c r="D41" t="s">
        <v>18</v>
      </c>
      <c r="E41">
        <v>89999</v>
      </c>
      <c r="F41">
        <v>29</v>
      </c>
      <c r="G41">
        <v>2609971</v>
      </c>
    </row>
    <row r="42" spans="1:7" x14ac:dyDescent="0.35">
      <c r="A42" s="24">
        <v>45395</v>
      </c>
      <c r="B42" t="s">
        <v>19</v>
      </c>
      <c r="C42" t="s">
        <v>20</v>
      </c>
      <c r="D42" t="s">
        <v>18</v>
      </c>
      <c r="E42">
        <v>79999</v>
      </c>
      <c r="F42">
        <v>10</v>
      </c>
      <c r="G42">
        <v>799990</v>
      </c>
    </row>
    <row r="43" spans="1:7" x14ac:dyDescent="0.35">
      <c r="A43" s="24">
        <v>45386</v>
      </c>
      <c r="B43" t="s">
        <v>19</v>
      </c>
      <c r="C43" t="s">
        <v>20</v>
      </c>
      <c r="D43" t="s">
        <v>24</v>
      </c>
      <c r="E43">
        <v>52000</v>
      </c>
      <c r="F43">
        <v>40</v>
      </c>
      <c r="G43">
        <v>2080000</v>
      </c>
    </row>
    <row r="44" spans="1:7" x14ac:dyDescent="0.35">
      <c r="A44" s="24">
        <v>45047</v>
      </c>
      <c r="B44" t="s">
        <v>10</v>
      </c>
      <c r="C44" t="s">
        <v>20</v>
      </c>
      <c r="D44" t="s">
        <v>18</v>
      </c>
      <c r="E44">
        <v>33000</v>
      </c>
      <c r="F44">
        <v>16</v>
      </c>
      <c r="G44">
        <v>528000</v>
      </c>
    </row>
    <row r="45" spans="1:7" x14ac:dyDescent="0.35">
      <c r="A45" s="24">
        <v>45050</v>
      </c>
      <c r="B45" t="s">
        <v>12</v>
      </c>
      <c r="C45" t="s">
        <v>20</v>
      </c>
      <c r="D45" t="s">
        <v>11</v>
      </c>
      <c r="E45">
        <v>22000</v>
      </c>
      <c r="F45">
        <v>17</v>
      </c>
      <c r="G45">
        <v>374000</v>
      </c>
    </row>
    <row r="46" spans="1:7" x14ac:dyDescent="0.35">
      <c r="A46" s="24">
        <v>45368</v>
      </c>
      <c r="B46" t="s">
        <v>10</v>
      </c>
      <c r="C46" t="s">
        <v>20</v>
      </c>
      <c r="D46" t="s">
        <v>11</v>
      </c>
      <c r="E46">
        <v>22000</v>
      </c>
      <c r="F46">
        <v>17</v>
      </c>
      <c r="G46">
        <v>374000</v>
      </c>
    </row>
    <row r="47" spans="1:7" x14ac:dyDescent="0.35">
      <c r="A47" s="24">
        <v>45056</v>
      </c>
      <c r="B47" t="s">
        <v>19</v>
      </c>
      <c r="C47" t="s">
        <v>20</v>
      </c>
      <c r="D47" t="s">
        <v>14</v>
      </c>
      <c r="E47">
        <v>499</v>
      </c>
      <c r="F47">
        <v>4</v>
      </c>
      <c r="G47">
        <v>1996</v>
      </c>
    </row>
    <row r="48" spans="1:7" x14ac:dyDescent="0.35">
      <c r="A48" s="24">
        <v>45365</v>
      </c>
      <c r="B48" t="s">
        <v>19</v>
      </c>
      <c r="C48" t="s">
        <v>20</v>
      </c>
      <c r="D48" t="s">
        <v>18</v>
      </c>
      <c r="E48">
        <v>33000</v>
      </c>
      <c r="F48">
        <v>16</v>
      </c>
      <c r="G48">
        <v>528000</v>
      </c>
    </row>
    <row r="49" spans="1:7" x14ac:dyDescent="0.35">
      <c r="A49" s="24">
        <v>45356</v>
      </c>
      <c r="B49" t="s">
        <v>19</v>
      </c>
      <c r="C49" t="s">
        <v>20</v>
      </c>
      <c r="D49" t="s">
        <v>24</v>
      </c>
      <c r="E49">
        <v>89999</v>
      </c>
      <c r="F49">
        <v>15</v>
      </c>
      <c r="G49">
        <v>1349985</v>
      </c>
    </row>
    <row r="50" spans="1:7" x14ac:dyDescent="0.35">
      <c r="A50" s="24">
        <v>45353</v>
      </c>
      <c r="B50" t="s">
        <v>12</v>
      </c>
      <c r="C50" t="s">
        <v>20</v>
      </c>
      <c r="D50" t="s">
        <v>18</v>
      </c>
      <c r="E50">
        <v>22000</v>
      </c>
      <c r="F50">
        <v>45</v>
      </c>
      <c r="G50">
        <v>990000</v>
      </c>
    </row>
    <row r="51" spans="1:7" x14ac:dyDescent="0.35">
      <c r="A51" s="24">
        <v>45068</v>
      </c>
      <c r="B51" t="s">
        <v>19</v>
      </c>
      <c r="C51" t="s">
        <v>20</v>
      </c>
      <c r="D51" t="s">
        <v>21</v>
      </c>
      <c r="E51">
        <v>52000</v>
      </c>
      <c r="F51">
        <v>40</v>
      </c>
      <c r="G51">
        <v>2080000</v>
      </c>
    </row>
    <row r="52" spans="1:7" x14ac:dyDescent="0.35">
      <c r="A52" s="24">
        <v>45329</v>
      </c>
      <c r="B52" t="s">
        <v>19</v>
      </c>
      <c r="C52" t="s">
        <v>20</v>
      </c>
      <c r="D52" t="s">
        <v>9</v>
      </c>
      <c r="E52">
        <v>22000</v>
      </c>
      <c r="F52">
        <v>10</v>
      </c>
      <c r="G52">
        <v>220000</v>
      </c>
    </row>
    <row r="53" spans="1:7" x14ac:dyDescent="0.35">
      <c r="A53" s="24">
        <v>45326</v>
      </c>
      <c r="B53" t="s">
        <v>12</v>
      </c>
      <c r="C53" t="s">
        <v>20</v>
      </c>
      <c r="D53" t="s">
        <v>21</v>
      </c>
      <c r="E53">
        <v>22000</v>
      </c>
      <c r="F53">
        <v>4</v>
      </c>
      <c r="G53">
        <v>88000</v>
      </c>
    </row>
    <row r="54" spans="1:7" x14ac:dyDescent="0.35">
      <c r="A54" s="24">
        <v>45296</v>
      </c>
      <c r="B54" t="s">
        <v>12</v>
      </c>
      <c r="C54" t="s">
        <v>20</v>
      </c>
      <c r="D54" t="s">
        <v>14</v>
      </c>
      <c r="E54">
        <v>2999</v>
      </c>
      <c r="F54">
        <v>43</v>
      </c>
      <c r="G54">
        <v>128957</v>
      </c>
    </row>
    <row r="55" spans="1:7" x14ac:dyDescent="0.35">
      <c r="A55" s="24">
        <v>45293</v>
      </c>
      <c r="B55" t="s">
        <v>10</v>
      </c>
      <c r="C55" t="s">
        <v>20</v>
      </c>
      <c r="D55" t="s">
        <v>11</v>
      </c>
      <c r="E55">
        <v>999</v>
      </c>
      <c r="F55">
        <v>27</v>
      </c>
      <c r="G55">
        <v>26973</v>
      </c>
    </row>
    <row r="56" spans="1:7" x14ac:dyDescent="0.35">
      <c r="A56" s="24">
        <v>45083</v>
      </c>
      <c r="B56" t="s">
        <v>19</v>
      </c>
      <c r="C56" t="s">
        <v>20</v>
      </c>
      <c r="D56" t="s">
        <v>14</v>
      </c>
      <c r="E56">
        <v>89999</v>
      </c>
      <c r="F56">
        <v>29</v>
      </c>
      <c r="G56">
        <v>2609971</v>
      </c>
    </row>
    <row r="57" spans="1:7" x14ac:dyDescent="0.35">
      <c r="A57" s="24">
        <v>45290</v>
      </c>
      <c r="B57" t="s">
        <v>10</v>
      </c>
      <c r="C57" t="s">
        <v>20</v>
      </c>
      <c r="D57" t="s">
        <v>21</v>
      </c>
      <c r="E57">
        <v>11999</v>
      </c>
      <c r="F57">
        <v>17</v>
      </c>
      <c r="G57">
        <v>203983</v>
      </c>
    </row>
    <row r="58" spans="1:7" x14ac:dyDescent="0.35">
      <c r="A58" s="24">
        <v>45089</v>
      </c>
      <c r="B58" t="s">
        <v>19</v>
      </c>
      <c r="C58" t="s">
        <v>20</v>
      </c>
      <c r="D58" t="s">
        <v>11</v>
      </c>
      <c r="E58">
        <v>3990</v>
      </c>
      <c r="F58">
        <v>31</v>
      </c>
      <c r="G58">
        <v>123690</v>
      </c>
    </row>
    <row r="59" spans="1:7" x14ac:dyDescent="0.35">
      <c r="A59" s="24">
        <v>45092</v>
      </c>
      <c r="B59" t="s">
        <v>12</v>
      </c>
      <c r="C59" t="s">
        <v>20</v>
      </c>
      <c r="D59" t="s">
        <v>18</v>
      </c>
      <c r="E59">
        <v>52000</v>
      </c>
      <c r="F59">
        <v>29</v>
      </c>
      <c r="G59">
        <v>1508000</v>
      </c>
    </row>
    <row r="60" spans="1:7" x14ac:dyDescent="0.35">
      <c r="A60" s="24">
        <v>45275</v>
      </c>
      <c r="B60" t="s">
        <v>19</v>
      </c>
      <c r="C60" t="s">
        <v>20</v>
      </c>
      <c r="D60" t="s">
        <v>9</v>
      </c>
      <c r="E60">
        <v>499</v>
      </c>
      <c r="F60">
        <v>39</v>
      </c>
      <c r="G60">
        <v>19461</v>
      </c>
    </row>
    <row r="61" spans="1:7" x14ac:dyDescent="0.35">
      <c r="A61" s="24">
        <v>45263</v>
      </c>
      <c r="B61" t="s">
        <v>19</v>
      </c>
      <c r="C61" t="s">
        <v>20</v>
      </c>
      <c r="D61" t="s">
        <v>18</v>
      </c>
      <c r="E61">
        <v>33000</v>
      </c>
      <c r="F61">
        <v>26</v>
      </c>
      <c r="G61">
        <v>858000</v>
      </c>
    </row>
    <row r="62" spans="1:7" x14ac:dyDescent="0.35">
      <c r="A62" s="24">
        <v>45236</v>
      </c>
      <c r="B62" t="s">
        <v>12</v>
      </c>
      <c r="C62" t="s">
        <v>20</v>
      </c>
      <c r="D62" t="s">
        <v>18</v>
      </c>
      <c r="E62">
        <v>79999</v>
      </c>
      <c r="F62">
        <v>9</v>
      </c>
      <c r="G62">
        <v>719991</v>
      </c>
    </row>
    <row r="63" spans="1:7" x14ac:dyDescent="0.35">
      <c r="A63" s="24">
        <v>45221</v>
      </c>
      <c r="B63" t="s">
        <v>19</v>
      </c>
      <c r="C63" t="s">
        <v>20</v>
      </c>
      <c r="D63" t="s">
        <v>21</v>
      </c>
      <c r="E63">
        <v>700</v>
      </c>
      <c r="F63">
        <v>50</v>
      </c>
      <c r="G63">
        <v>35000</v>
      </c>
    </row>
    <row r="64" spans="1:7" x14ac:dyDescent="0.35">
      <c r="A64" s="24">
        <v>45212</v>
      </c>
      <c r="B64" t="s">
        <v>19</v>
      </c>
      <c r="C64" t="s">
        <v>20</v>
      </c>
      <c r="D64" t="s">
        <v>9</v>
      </c>
      <c r="E64">
        <v>89999</v>
      </c>
      <c r="F64">
        <v>15</v>
      </c>
      <c r="G64">
        <v>1349985</v>
      </c>
    </row>
    <row r="65" spans="1:7" x14ac:dyDescent="0.35">
      <c r="A65" s="24">
        <v>45200</v>
      </c>
      <c r="B65" t="s">
        <v>19</v>
      </c>
      <c r="C65" t="s">
        <v>20</v>
      </c>
      <c r="D65" t="s">
        <v>18</v>
      </c>
      <c r="E65">
        <v>2999</v>
      </c>
      <c r="F65">
        <v>33</v>
      </c>
      <c r="G65">
        <v>98967</v>
      </c>
    </row>
    <row r="66" spans="1:7" x14ac:dyDescent="0.35">
      <c r="A66" s="24">
        <v>45188</v>
      </c>
      <c r="B66" t="s">
        <v>10</v>
      </c>
      <c r="C66" t="s">
        <v>20</v>
      </c>
      <c r="D66" t="s">
        <v>9</v>
      </c>
      <c r="E66">
        <v>52000</v>
      </c>
      <c r="F66">
        <v>15</v>
      </c>
      <c r="G66">
        <v>780000</v>
      </c>
    </row>
    <row r="67" spans="1:7" x14ac:dyDescent="0.35">
      <c r="A67" s="24">
        <v>45182</v>
      </c>
      <c r="B67" t="s">
        <v>19</v>
      </c>
      <c r="C67" t="s">
        <v>20</v>
      </c>
      <c r="D67" t="s">
        <v>14</v>
      </c>
      <c r="E67">
        <v>79999</v>
      </c>
      <c r="F67">
        <v>4</v>
      </c>
      <c r="G67">
        <v>319996</v>
      </c>
    </row>
    <row r="68" spans="1:7" x14ac:dyDescent="0.35">
      <c r="A68" s="24">
        <v>45167</v>
      </c>
      <c r="B68" t="s">
        <v>19</v>
      </c>
      <c r="C68" t="s">
        <v>20</v>
      </c>
      <c r="D68" t="s">
        <v>9</v>
      </c>
      <c r="E68">
        <v>11999</v>
      </c>
      <c r="F68">
        <v>37</v>
      </c>
      <c r="G68">
        <v>443963</v>
      </c>
    </row>
    <row r="69" spans="1:7" x14ac:dyDescent="0.35">
      <c r="A69" s="24">
        <v>45152</v>
      </c>
      <c r="B69" t="s">
        <v>10</v>
      </c>
      <c r="C69" t="s">
        <v>20</v>
      </c>
      <c r="D69" t="s">
        <v>21</v>
      </c>
      <c r="E69">
        <v>52000</v>
      </c>
      <c r="F69">
        <v>41</v>
      </c>
      <c r="G69">
        <v>2132000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89DA-824C-4A8B-B771-70B13D0530EC}">
  <sheetPr codeName="Sheet5"/>
  <dimension ref="A1"/>
  <sheetViews>
    <sheetView tabSelected="1" zoomScale="79" workbookViewId="0">
      <selection activeCell="V15" sqref="V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data</vt:lpstr>
      <vt:lpstr>pivot tables</vt:lpstr>
      <vt:lpstr>Detail1</vt:lpstr>
      <vt:lpstr>Detail2</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Kalyan Reddy</dc:creator>
  <cp:lastModifiedBy>Pavan Kalyan Reddy</cp:lastModifiedBy>
  <dcterms:created xsi:type="dcterms:W3CDTF">2025-11-01T09:58:40Z</dcterms:created>
  <dcterms:modified xsi:type="dcterms:W3CDTF">2025-11-16T10:17:22Z</dcterms:modified>
</cp:coreProperties>
</file>